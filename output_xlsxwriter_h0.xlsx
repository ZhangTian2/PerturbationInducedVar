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 applyFill="1" applyAlignment="1"/>
    <xf numFmtId="0" fontId="0" fillId="0" borderId="0" xfId="0" applyNumberFormat="1" applyFont="1" applyFill="1" applyAlignment="1"/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Sheet1!$I$1:$I$50</c:f>
              <c:numCache>
                <c:formatCode>General</c:formatCode>
                <c:ptCount val="50"/>
                <c:pt idx="0">
                  <c:v>1</c:v>
                </c:pt>
                <c:pt idx="1">
                  <c:v>1</c:v>
                </c:pt>
                <c:pt idx="2">
                  <c:v>0.999999380111694</c:v>
                </c:pt>
                <c:pt idx="3">
                  <c:v>0.999979984760284</c:v>
                </c:pt>
                <c:pt idx="4">
                  <c:v>0.999805164337158</c:v>
                </c:pt>
                <c:pt idx="5">
                  <c:v>0.998869574069977</c:v>
                </c:pt>
                <c:pt idx="6">
                  <c:v>0.995834589004517</c:v>
                </c:pt>
                <c:pt idx="7">
                  <c:v>0.988059842586517</c:v>
                </c:pt>
                <c:pt idx="8">
                  <c:v>0.967784821987152</c:v>
                </c:pt>
                <c:pt idx="9">
                  <c:v>0.919770753383636</c:v>
                </c:pt>
                <c:pt idx="10">
                  <c:v>0.688660228252411</c:v>
                </c:pt>
                <c:pt idx="11">
                  <c:v>0.0777465626597404</c:v>
                </c:pt>
                <c:pt idx="12">
                  <c:v>0.0434806302189827</c:v>
                </c:pt>
                <c:pt idx="13">
                  <c:v>0.0339587219059467</c:v>
                </c:pt>
                <c:pt idx="14">
                  <c:v>0.028847673162818</c:v>
                </c:pt>
                <c:pt idx="15">
                  <c:v>0.0253836762160063</c:v>
                </c:pt>
                <c:pt idx="16">
                  <c:v>0.0232956781983376</c:v>
                </c:pt>
                <c:pt idx="17">
                  <c:v>0.0217990405857563</c:v>
                </c:pt>
                <c:pt idx="18">
                  <c:v>0.0214729581028223</c:v>
                </c:pt>
                <c:pt idx="19">
                  <c:v>0.0204953566193581</c:v>
                </c:pt>
                <c:pt idx="20">
                  <c:v>0.0191775973886251</c:v>
                </c:pt>
                <c:pt idx="21">
                  <c:v>0.0194876812398434</c:v>
                </c:pt>
                <c:pt idx="22">
                  <c:v>0.0182515181601048</c:v>
                </c:pt>
                <c:pt idx="23">
                  <c:v>0.0181782342493534</c:v>
                </c:pt>
                <c:pt idx="24">
                  <c:v>0.0179164789617062</c:v>
                </c:pt>
                <c:pt idx="25">
                  <c:v>0.0180892765522003</c:v>
                </c:pt>
                <c:pt idx="26">
                  <c:v>0.0175974410027266</c:v>
                </c:pt>
                <c:pt idx="27">
                  <c:v>0.0170649562031031</c:v>
                </c:pt>
                <c:pt idx="28">
                  <c:v>0.0170649528503418</c:v>
                </c:pt>
                <c:pt idx="29">
                  <c:v>0.0163596771657467</c:v>
                </c:pt>
                <c:pt idx="30">
                  <c:v>0.0169683158397675</c:v>
                </c:pt>
                <c:pt idx="31">
                  <c:v>0.0169468775391579</c:v>
                </c:pt>
                <c:pt idx="32">
                  <c:v>0.0166947178542614</c:v>
                </c:pt>
                <c:pt idx="33">
                  <c:v>0.0167644763365388</c:v>
                </c:pt>
                <c:pt idx="34">
                  <c:v>0.0166121609508991</c:v>
                </c:pt>
                <c:pt idx="35">
                  <c:v>0.0161721536889672</c:v>
                </c:pt>
                <c:pt idx="36">
                  <c:v>0.0161529591307044</c:v>
                </c:pt>
                <c:pt idx="37">
                  <c:v>0.0164521615952253</c:v>
                </c:pt>
                <c:pt idx="38">
                  <c:v>0.0161820778623223</c:v>
                </c:pt>
                <c:pt idx="39">
                  <c:v>0.0161180779337883</c:v>
                </c:pt>
                <c:pt idx="40">
                  <c:v>0.0164287950843573</c:v>
                </c:pt>
                <c:pt idx="41">
                  <c:v>0.0161939177662134</c:v>
                </c:pt>
                <c:pt idx="42">
                  <c:v>0.0163574324920773</c:v>
                </c:pt>
                <c:pt idx="43">
                  <c:v>0.0160233587026596</c:v>
                </c:pt>
                <c:pt idx="44">
                  <c:v>0.0161161571741104</c:v>
                </c:pt>
                <c:pt idx="45">
                  <c:v>0.0159372791647911</c:v>
                </c:pt>
                <c:pt idx="46">
                  <c:v>0.0158582335337996</c:v>
                </c:pt>
                <c:pt idx="47">
                  <c:v>0.016085759177804</c:v>
                </c:pt>
                <c:pt idx="48">
                  <c:v>0.0156195178627968</c:v>
                </c:pt>
                <c:pt idx="49">
                  <c:v>0.0160016003996134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39967225"/>
        <c:axId val="956280385"/>
      </c:lineChart>
      <c:catAx>
        <c:axId val="43996722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6280385"/>
        <c:crosses val="autoZero"/>
        <c:auto val="1"/>
        <c:lblAlgn val="ctr"/>
        <c:lblOffset val="100"/>
        <c:noMultiLvlLbl val="0"/>
      </c:catAx>
      <c:valAx>
        <c:axId val="95628038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996722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c4f2f88-8c1c-4277-b6f1-9813a04d972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Sheet1!$I$53:$I$102</c:f>
              <c:numCache>
                <c:formatCode>General</c:formatCode>
                <c:ptCount val="50"/>
                <c:pt idx="0">
                  <c:v>4.75063619085476e-14</c:v>
                </c:pt>
                <c:pt idx="1">
                  <c:v>1.24851040964047e-12</c:v>
                </c:pt>
                <c:pt idx="2">
                  <c:v>3.55908497118307e-12</c:v>
                </c:pt>
                <c:pt idx="3">
                  <c:v>6.2959261241946e-11</c:v>
                </c:pt>
                <c:pt idx="4">
                  <c:v>1.33249566935945e-9</c:v>
                </c:pt>
                <c:pt idx="5">
                  <c:v>1.54573402522118e-8</c:v>
                </c:pt>
                <c:pt idx="6">
                  <c:v>5.4647409797326e-8</c:v>
                </c:pt>
                <c:pt idx="7">
                  <c:v>4.38016672887898e-7</c:v>
                </c:pt>
                <c:pt idx="8">
                  <c:v>2.99776488645875e-6</c:v>
                </c:pt>
                <c:pt idx="9">
                  <c:v>3.94094677176326e-5</c:v>
                </c:pt>
                <c:pt idx="10">
                  <c:v>0.00317438964573666</c:v>
                </c:pt>
                <c:pt idx="11">
                  <c:v>0.000403408700367436</c:v>
                </c:pt>
                <c:pt idx="12">
                  <c:v>3.91881989344256e-5</c:v>
                </c:pt>
                <c:pt idx="13">
                  <c:v>1.4826555388936e-5</c:v>
                </c:pt>
                <c:pt idx="14">
                  <c:v>6.27679644367163e-6</c:v>
                </c:pt>
                <c:pt idx="15">
                  <c:v>5.00398077747377e-6</c:v>
                </c:pt>
                <c:pt idx="16">
                  <c:v>2.77415055052188e-6</c:v>
                </c:pt>
                <c:pt idx="17">
                  <c:v>1.61740877047123e-6</c:v>
                </c:pt>
                <c:pt idx="18">
                  <c:v>1.83966744771169e-6</c:v>
                </c:pt>
                <c:pt idx="19">
                  <c:v>1.09202253497642e-6</c:v>
                </c:pt>
                <c:pt idx="20">
                  <c:v>6.63362004615919e-7</c:v>
                </c:pt>
                <c:pt idx="21">
                  <c:v>9.29215207179368e-7</c:v>
                </c:pt>
                <c:pt idx="22">
                  <c:v>8.86035388703023e-7</c:v>
                </c:pt>
                <c:pt idx="23">
                  <c:v>4.99266880638061e-7</c:v>
                </c:pt>
                <c:pt idx="24">
                  <c:v>4.44880851091512e-7</c:v>
                </c:pt>
                <c:pt idx="25">
                  <c:v>6.12095271890212e-7</c:v>
                </c:pt>
                <c:pt idx="26">
                  <c:v>6.1140877392063e-7</c:v>
                </c:pt>
                <c:pt idx="27">
                  <c:v>6.10507527198934e-7</c:v>
                </c:pt>
                <c:pt idx="28">
                  <c:v>4.76255860348829e-7</c:v>
                </c:pt>
                <c:pt idx="29">
                  <c:v>5.12353778958641e-7</c:v>
                </c:pt>
                <c:pt idx="30">
                  <c:v>5.24088801512335e-7</c:v>
                </c:pt>
                <c:pt idx="31">
                  <c:v>3.84456632218644e-7</c:v>
                </c:pt>
                <c:pt idx="32">
                  <c:v>3.60009948963125e-7</c:v>
                </c:pt>
                <c:pt idx="33">
                  <c:v>5.94455511304658e-7</c:v>
                </c:pt>
                <c:pt idx="34">
                  <c:v>3.40831684297882e-7</c:v>
                </c:pt>
                <c:pt idx="35">
                  <c:v>3.25591369687573e-7</c:v>
                </c:pt>
                <c:pt idx="36">
                  <c:v>3.73100547790273e-7</c:v>
                </c:pt>
                <c:pt idx="37">
                  <c:v>2.57556220617517e-7</c:v>
                </c:pt>
                <c:pt idx="38">
                  <c:v>4.201424374628e-7</c:v>
                </c:pt>
                <c:pt idx="39">
                  <c:v>2.80118709383714e-7</c:v>
                </c:pt>
                <c:pt idx="40">
                  <c:v>2.87439343082951e-7</c:v>
                </c:pt>
                <c:pt idx="41">
                  <c:v>2.65357033413238e-7</c:v>
                </c:pt>
                <c:pt idx="42">
                  <c:v>4.41468750977947e-7</c:v>
                </c:pt>
                <c:pt idx="43">
                  <c:v>3.50742570276452e-7</c:v>
                </c:pt>
                <c:pt idx="44">
                  <c:v>3.0626244438281e-7</c:v>
                </c:pt>
                <c:pt idx="45">
                  <c:v>4.75274822520077e-7</c:v>
                </c:pt>
                <c:pt idx="46">
                  <c:v>2.75042449970897e-7</c:v>
                </c:pt>
                <c:pt idx="47">
                  <c:v>3.8337983596648e-7</c:v>
                </c:pt>
                <c:pt idx="48">
                  <c:v>3.06790397530676e-7</c:v>
                </c:pt>
                <c:pt idx="49">
                  <c:v>3.13085936909374e-7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44281942"/>
        <c:axId val="223818033"/>
      </c:lineChart>
      <c:catAx>
        <c:axId val="74428194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3818033"/>
        <c:crosses val="autoZero"/>
        <c:auto val="1"/>
        <c:lblAlgn val="ctr"/>
        <c:lblOffset val="100"/>
        <c:noMultiLvlLbl val="0"/>
      </c:catAx>
      <c:valAx>
        <c:axId val="22381803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428194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c8e0f3d-3a28-45bb-a3f2-48394ac1cdf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212725</xdr:colOff>
      <xdr:row>0</xdr:row>
      <xdr:rowOff>60325</xdr:rowOff>
    </xdr:from>
    <xdr:to>
      <xdr:col>17</xdr:col>
      <xdr:colOff>238125</xdr:colOff>
      <xdr:row>16</xdr:row>
      <xdr:rowOff>60325</xdr:rowOff>
    </xdr:to>
    <xdr:graphicFrame>
      <xdr:nvGraphicFramePr>
        <xdr:cNvPr id="2" name="图表 1"/>
        <xdr:cNvGraphicFramePr/>
      </xdr:nvGraphicFramePr>
      <xdr:xfrm>
        <a:off x="9602470" y="603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193675</xdr:colOff>
      <xdr:row>52</xdr:row>
      <xdr:rowOff>15875</xdr:rowOff>
    </xdr:from>
    <xdr:to>
      <xdr:col>17</xdr:col>
      <xdr:colOff>219075</xdr:colOff>
      <xdr:row>68</xdr:row>
      <xdr:rowOff>15875</xdr:rowOff>
    </xdr:to>
    <xdr:graphicFrame>
      <xdr:nvGraphicFramePr>
        <xdr:cNvPr id="3" name="图表 2"/>
        <xdr:cNvGraphicFramePr/>
      </xdr:nvGraphicFramePr>
      <xdr:xfrm>
        <a:off x="9583420" y="89312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2"/>
  <sheetViews>
    <sheetView tabSelected="1" topLeftCell="A31" workbookViewId="0">
      <selection activeCell="I53" sqref="I53:J102"/>
    </sheetView>
  </sheetViews>
  <sheetFormatPr defaultColWidth="9" defaultRowHeight="13.5"/>
  <cols>
    <col min="2" max="2" width="12.625"/>
    <col min="3" max="3" width="12.625" customWidth="1"/>
    <col min="4" max="4" width="12.625"/>
    <col min="5" max="5" width="13.875" customWidth="1"/>
    <col min="6" max="6" width="12.625"/>
    <col min="9" max="9" width="19.225" customWidth="1"/>
    <col min="10" max="10" width="12.625"/>
  </cols>
  <sheetData>
    <row r="1" spans="1:19">
      <c r="A1">
        <v>0.5</v>
      </c>
      <c r="B1" s="1">
        <v>1</v>
      </c>
      <c r="C1" s="1">
        <v>1</v>
      </c>
      <c r="D1" s="1">
        <v>1</v>
      </c>
      <c r="E1" s="1">
        <v>1</v>
      </c>
      <c r="F1" s="1">
        <v>1</v>
      </c>
      <c r="G1" s="1"/>
      <c r="I1">
        <f t="shared" ref="I1:I50" si="0">AVERAGE(B1:H1)</f>
        <v>1</v>
      </c>
      <c r="J1">
        <f>SQRT(VAR(B1:F1))</f>
        <v>0</v>
      </c>
      <c r="S1" s="3">
        <v>1</v>
      </c>
    </row>
    <row r="2" spans="1:19">
      <c r="A2">
        <v>1.30612242221832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/>
      <c r="I2">
        <f t="shared" si="0"/>
        <v>1</v>
      </c>
      <c r="J2">
        <f t="shared" ref="J2:J33" si="1">SQRT(VAR(B2:F2))</f>
        <v>0</v>
      </c>
      <c r="S2" s="3">
        <v>2</v>
      </c>
    </row>
    <row r="3" spans="1:19">
      <c r="A3">
        <v>2.11224484443665</v>
      </c>
      <c r="B3" s="1">
        <v>1</v>
      </c>
      <c r="C3" s="1">
        <v>1</v>
      </c>
      <c r="D3" s="1">
        <v>1</v>
      </c>
      <c r="E3" s="1">
        <v>1</v>
      </c>
      <c r="F3" s="1">
        <v>0.999996900558472</v>
      </c>
      <c r="G3" s="1"/>
      <c r="I3">
        <f t="shared" si="0"/>
        <v>0.999999380111694</v>
      </c>
      <c r="J3">
        <f t="shared" si="1"/>
        <v>1.38611238977306e-6</v>
      </c>
      <c r="S3" s="3">
        <v>3</v>
      </c>
    </row>
    <row r="4" spans="1:19">
      <c r="A4">
        <v>2.91836738586426</v>
      </c>
      <c r="B4" s="1">
        <v>0.999996900558472</v>
      </c>
      <c r="C4" s="1">
        <v>0.999984204769135</v>
      </c>
      <c r="D4" s="1">
        <v>0.999979376792908</v>
      </c>
      <c r="E4" s="1">
        <v>0.999948918819427</v>
      </c>
      <c r="F4" s="1">
        <v>0.999990522861481</v>
      </c>
      <c r="G4" s="1"/>
      <c r="I4">
        <f t="shared" si="0"/>
        <v>0.999979984760284</v>
      </c>
      <c r="J4">
        <f t="shared" si="1"/>
        <v>1.85773153707483e-5</v>
      </c>
      <c r="S4" s="3">
        <v>4</v>
      </c>
    </row>
    <row r="5" spans="1:19">
      <c r="A5">
        <v>3.72448968887329</v>
      </c>
      <c r="B5" s="1">
        <v>0.99975311756134</v>
      </c>
      <c r="C5" s="1">
        <v>0.999791622161865</v>
      </c>
      <c r="D5" s="1">
        <v>0.999813795089722</v>
      </c>
      <c r="E5" s="1">
        <v>0.999828100204468</v>
      </c>
      <c r="F5" s="1">
        <v>0.999839186668396</v>
      </c>
      <c r="G5" s="1"/>
      <c r="I5">
        <f t="shared" si="0"/>
        <v>0.999805164337158</v>
      </c>
      <c r="J5">
        <f t="shared" si="1"/>
        <v>3.40966285234557e-5</v>
      </c>
      <c r="S5" s="3">
        <v>5</v>
      </c>
    </row>
    <row r="6" spans="1:19">
      <c r="A6">
        <v>4.53061199188232</v>
      </c>
      <c r="B6" s="1">
        <v>0.998592674732208</v>
      </c>
      <c r="C6" s="1">
        <v>0.998917698860168</v>
      </c>
      <c r="D6" s="1">
        <v>0.998978495597839</v>
      </c>
      <c r="E6" s="1">
        <v>0.998964011669159</v>
      </c>
      <c r="F6" s="1">
        <v>0.998894989490509</v>
      </c>
      <c r="G6" s="1"/>
      <c r="I6">
        <f t="shared" si="0"/>
        <v>0.998869574069977</v>
      </c>
      <c r="J6">
        <f t="shared" si="1"/>
        <v>0.000158443634819854</v>
      </c>
      <c r="S6" s="3">
        <v>6</v>
      </c>
    </row>
    <row r="7" spans="1:19">
      <c r="A7">
        <v>5.33673477172852</v>
      </c>
      <c r="B7" s="1">
        <v>0.996014356613159</v>
      </c>
      <c r="C7" s="1">
        <v>0.995708167552948</v>
      </c>
      <c r="D7" s="1">
        <v>0.995504081249237</v>
      </c>
      <c r="E7" s="1">
        <v>0.996315002441406</v>
      </c>
      <c r="F7" s="1">
        <v>0.995631337165833</v>
      </c>
      <c r="G7" s="1"/>
      <c r="I7">
        <f t="shared" si="0"/>
        <v>0.995834589004517</v>
      </c>
      <c r="J7">
        <f t="shared" si="1"/>
        <v>0.000327735614903953</v>
      </c>
      <c r="S7" s="3">
        <v>7</v>
      </c>
    </row>
    <row r="8" spans="1:19">
      <c r="A8">
        <v>6.14285707473755</v>
      </c>
      <c r="B8" s="1">
        <v>0.988047659397125</v>
      </c>
      <c r="C8" s="1">
        <v>0.988662481307983</v>
      </c>
      <c r="D8" s="1">
        <v>0.98811137676239</v>
      </c>
      <c r="E8" s="1">
        <v>0.987289249897003</v>
      </c>
      <c r="F8" s="1">
        <v>0.988188445568085</v>
      </c>
      <c r="G8" s="1"/>
      <c r="I8">
        <f t="shared" si="0"/>
        <v>0.988059842586517</v>
      </c>
      <c r="J8">
        <f t="shared" si="1"/>
        <v>0.000494046923378104</v>
      </c>
      <c r="S8" s="3">
        <v>8</v>
      </c>
    </row>
    <row r="9" spans="1:19">
      <c r="A9">
        <v>6.94897937774658</v>
      </c>
      <c r="B9" s="1">
        <v>0.968841135501862</v>
      </c>
      <c r="C9" s="1">
        <v>0.967653870582581</v>
      </c>
      <c r="D9" s="1">
        <v>0.966960787773132</v>
      </c>
      <c r="E9" s="1">
        <v>0.968903541564941</v>
      </c>
      <c r="F9" s="1">
        <v>0.966564774513245</v>
      </c>
      <c r="G9" s="1"/>
      <c r="I9">
        <f t="shared" si="0"/>
        <v>0.967784821987152</v>
      </c>
      <c r="J9">
        <f t="shared" si="1"/>
        <v>0.00106677413611188</v>
      </c>
      <c r="S9" s="3">
        <v>9</v>
      </c>
    </row>
    <row r="10" spans="1:19">
      <c r="A10">
        <v>7.75510168075562</v>
      </c>
      <c r="B10" s="1">
        <v>0.91821426153183</v>
      </c>
      <c r="C10" s="1">
        <v>0.92940616607666</v>
      </c>
      <c r="D10" s="1">
        <v>0.914263665676117</v>
      </c>
      <c r="E10" s="1">
        <v>0.923186123371124</v>
      </c>
      <c r="F10" s="1">
        <v>0.913783550262451</v>
      </c>
      <c r="G10" s="1"/>
      <c r="I10">
        <f t="shared" si="0"/>
        <v>0.919770753383636</v>
      </c>
      <c r="J10">
        <f t="shared" si="1"/>
        <v>0.00657843471187668</v>
      </c>
      <c r="S10" s="3">
        <v>10</v>
      </c>
    </row>
    <row r="11" spans="1:19">
      <c r="A11">
        <v>8.56122398376465</v>
      </c>
      <c r="B11" s="1">
        <v>0.663889229297638</v>
      </c>
      <c r="C11" s="1">
        <v>0.696179032325745</v>
      </c>
      <c r="D11" s="1">
        <v>0.688526213169098</v>
      </c>
      <c r="E11" s="1">
        <v>0.6951744556427</v>
      </c>
      <c r="F11" s="1">
        <v>0.699532210826874</v>
      </c>
      <c r="G11" s="1"/>
      <c r="I11">
        <f t="shared" si="0"/>
        <v>0.688660228252411</v>
      </c>
      <c r="J11">
        <f t="shared" si="1"/>
        <v>0.0144116960100548</v>
      </c>
      <c r="S11" s="3">
        <v>11</v>
      </c>
    </row>
    <row r="12" spans="1:19">
      <c r="A12">
        <v>9.36734676361084</v>
      </c>
      <c r="B12" s="1">
        <v>0.109985634684563</v>
      </c>
      <c r="C12" s="1">
        <v>0.0592847801744938</v>
      </c>
      <c r="D12" s="1">
        <v>0.0551039911806583</v>
      </c>
      <c r="E12" s="1">
        <v>0.0656288117170334</v>
      </c>
      <c r="F12" s="1">
        <v>0.098729595541954</v>
      </c>
      <c r="G12" s="1"/>
      <c r="I12">
        <f t="shared" si="0"/>
        <v>0.0777465626597404</v>
      </c>
      <c r="J12">
        <f t="shared" si="1"/>
        <v>0.0248998432604762</v>
      </c>
      <c r="S12" s="3">
        <v>12</v>
      </c>
    </row>
    <row r="13" spans="1:19">
      <c r="A13">
        <v>10.173469543457</v>
      </c>
      <c r="B13" s="1">
        <v>0.0570959858596325</v>
      </c>
      <c r="C13" s="1">
        <v>0.0448975786566734</v>
      </c>
      <c r="D13" s="1">
        <v>0.0328207910060883</v>
      </c>
      <c r="E13" s="1">
        <v>0.0405423864722252</v>
      </c>
      <c r="F13" s="1">
        <v>0.0420464091002941</v>
      </c>
      <c r="G13" s="1"/>
      <c r="I13">
        <f t="shared" si="0"/>
        <v>0.0434806302189827</v>
      </c>
      <c r="J13">
        <f t="shared" si="1"/>
        <v>0.00882762837167862</v>
      </c>
      <c r="S13" s="3">
        <v>13</v>
      </c>
    </row>
    <row r="14" spans="1:19">
      <c r="A14">
        <v>10.9795913696289</v>
      </c>
      <c r="B14" s="1">
        <v>0.0320063978433609</v>
      </c>
      <c r="C14" s="1">
        <v>0.0338368006050587</v>
      </c>
      <c r="D14" s="1">
        <v>0.0339583940804005</v>
      </c>
      <c r="E14" s="1">
        <v>0.0372687987983227</v>
      </c>
      <c r="F14" s="1">
        <v>0.0327232182025909</v>
      </c>
      <c r="G14" s="1"/>
      <c r="I14">
        <f t="shared" si="0"/>
        <v>0.0339587219059467</v>
      </c>
      <c r="J14">
        <f t="shared" si="1"/>
        <v>0.00201925187822611</v>
      </c>
      <c r="S14" s="3">
        <v>14</v>
      </c>
    </row>
    <row r="15" spans="1:19">
      <c r="A15">
        <v>11.7857141494751</v>
      </c>
      <c r="B15" s="1">
        <v>0.0314479917287826</v>
      </c>
      <c r="C15" s="1">
        <v>0.028023986145854</v>
      </c>
      <c r="D15" s="1">
        <v>0.0305168051272631</v>
      </c>
      <c r="E15" s="1">
        <v>0.0279840007424355</v>
      </c>
      <c r="F15" s="1">
        <v>0.0262655820697546</v>
      </c>
      <c r="G15" s="1"/>
      <c r="I15">
        <f t="shared" si="0"/>
        <v>0.028847673162818</v>
      </c>
      <c r="J15">
        <f t="shared" si="1"/>
        <v>0.00209995493545423</v>
      </c>
      <c r="S15" s="3">
        <v>15</v>
      </c>
    </row>
    <row r="16" spans="1:19">
      <c r="A16">
        <v>12.591835975647</v>
      </c>
      <c r="B16" s="1">
        <v>0.0270735919475555</v>
      </c>
      <c r="C16" s="1">
        <v>0.023523198440671</v>
      </c>
      <c r="D16" s="1">
        <v>0.0267391931265593</v>
      </c>
      <c r="E16" s="1">
        <v>0.0247615855187178</v>
      </c>
      <c r="F16" s="1">
        <v>0.0248208120465279</v>
      </c>
      <c r="G16" s="1"/>
      <c r="I16">
        <f t="shared" si="0"/>
        <v>0.0253836762160063</v>
      </c>
      <c r="J16">
        <f t="shared" si="1"/>
        <v>0.00148815588363457</v>
      </c>
      <c r="S16" s="3">
        <v>16</v>
      </c>
    </row>
    <row r="17" spans="1:19">
      <c r="A17">
        <v>13.3979587554932</v>
      </c>
      <c r="B17" s="1">
        <v>0.022731201723218</v>
      </c>
      <c r="C17" s="1">
        <v>0.021631995216012</v>
      </c>
      <c r="D17" s="1">
        <v>0.0219855923205614</v>
      </c>
      <c r="E17" s="1">
        <v>0.0251407939940691</v>
      </c>
      <c r="F17" s="1">
        <v>0.0249888077378273</v>
      </c>
      <c r="G17" s="1"/>
      <c r="I17">
        <f t="shared" si="0"/>
        <v>0.0232956781983376</v>
      </c>
      <c r="J17">
        <f t="shared" si="1"/>
        <v>0.00166387647535374</v>
      </c>
      <c r="S17" s="3">
        <v>17</v>
      </c>
    </row>
    <row r="18" spans="1:19">
      <c r="A18">
        <v>14.2040815353394</v>
      </c>
      <c r="B18" s="1">
        <v>0.0230383910238743</v>
      </c>
      <c r="C18" s="1">
        <v>0.0230752062052488</v>
      </c>
      <c r="D18" s="1">
        <v>0.020220810547471</v>
      </c>
      <c r="E18" s="1">
        <v>0.0209535975009203</v>
      </c>
      <c r="F18" s="1">
        <v>0.0217071976512671</v>
      </c>
      <c r="G18" s="1"/>
      <c r="I18">
        <f t="shared" si="0"/>
        <v>0.0217990405857563</v>
      </c>
      <c r="J18">
        <f t="shared" si="1"/>
        <v>0.00126279525110928</v>
      </c>
      <c r="S18" s="3">
        <v>18</v>
      </c>
    </row>
    <row r="19" spans="1:19">
      <c r="A19">
        <v>15.0102033615112</v>
      </c>
      <c r="B19" s="1">
        <v>0.023555202409625</v>
      </c>
      <c r="C19" s="1">
        <v>0.0222991947084665</v>
      </c>
      <c r="D19" s="1">
        <v>0.020347198471427</v>
      </c>
      <c r="E19" s="1">
        <v>0.0199759937822819</v>
      </c>
      <c r="F19" s="1">
        <v>0.0211872011423111</v>
      </c>
      <c r="G19" s="1"/>
      <c r="I19">
        <f t="shared" si="0"/>
        <v>0.0214729581028223</v>
      </c>
      <c r="J19">
        <f t="shared" si="1"/>
        <v>0.00146699541979939</v>
      </c>
      <c r="S19" s="3">
        <v>19</v>
      </c>
    </row>
    <row r="20" spans="1:19">
      <c r="A20">
        <v>15.8163261413574</v>
      </c>
      <c r="B20" s="1">
        <v>0.0198559910058975</v>
      </c>
      <c r="C20" s="1">
        <v>0.0198496002703905</v>
      </c>
      <c r="D20" s="1">
        <v>0.0196319911628962</v>
      </c>
      <c r="E20" s="1">
        <v>0.0227615963667631</v>
      </c>
      <c r="F20" s="1">
        <v>0.020377604290843</v>
      </c>
      <c r="G20" s="1"/>
      <c r="I20">
        <f t="shared" si="0"/>
        <v>0.0204953566193581</v>
      </c>
      <c r="J20">
        <f t="shared" si="1"/>
        <v>0.00129623471687311</v>
      </c>
      <c r="S20" s="3">
        <v>20</v>
      </c>
    </row>
    <row r="21" spans="1:19">
      <c r="A21">
        <v>16.6224479675293</v>
      </c>
      <c r="B21" s="1">
        <v>0.0197167880833149</v>
      </c>
      <c r="C21" s="1">
        <v>0.0188432056456804</v>
      </c>
      <c r="D21" s="1">
        <v>0.0200303941965103</v>
      </c>
      <c r="E21" s="1">
        <v>0.0183456055819988</v>
      </c>
      <c r="F21" s="1">
        <v>0.0189519934356213</v>
      </c>
      <c r="G21" s="1"/>
      <c r="I21">
        <f t="shared" si="0"/>
        <v>0.0191775973886251</v>
      </c>
      <c r="J21">
        <f t="shared" si="1"/>
        <v>0.00068427230479413</v>
      </c>
      <c r="S21" s="3">
        <v>21</v>
      </c>
    </row>
    <row r="22" spans="1:19">
      <c r="A22">
        <v>17.4285717010498</v>
      </c>
      <c r="B22" s="1">
        <v>0.0203247983008623</v>
      </c>
      <c r="C22" s="1">
        <v>0.0191264096647501</v>
      </c>
      <c r="D22" s="1">
        <v>0.0200431980192661</v>
      </c>
      <c r="E22" s="1">
        <v>0.0195647962391376</v>
      </c>
      <c r="F22" s="1">
        <v>0.0183792039752006</v>
      </c>
      <c r="G22" s="1"/>
      <c r="I22">
        <f t="shared" si="0"/>
        <v>0.0194876812398434</v>
      </c>
      <c r="J22">
        <f t="shared" si="1"/>
        <v>0.000770478680169933</v>
      </c>
      <c r="S22" s="3">
        <v>22</v>
      </c>
    </row>
    <row r="23" spans="1:19">
      <c r="A23">
        <v>18.2346935272217</v>
      </c>
      <c r="B23" s="1">
        <v>0.0177935939282179</v>
      </c>
      <c r="C23" s="1">
        <v>0.0174943991005421</v>
      </c>
      <c r="D23" s="1">
        <v>0.0187711995095015</v>
      </c>
      <c r="E23" s="1">
        <v>0.0180320013314486</v>
      </c>
      <c r="F23" s="1">
        <v>0.0191663969308138</v>
      </c>
      <c r="G23" s="1"/>
      <c r="I23">
        <f t="shared" si="0"/>
        <v>0.0182515181601048</v>
      </c>
      <c r="J23">
        <f t="shared" si="1"/>
        <v>0.000696093273306526</v>
      </c>
      <c r="S23" s="3">
        <v>23</v>
      </c>
    </row>
    <row r="24" spans="1:19">
      <c r="A24">
        <v>19.0408153533936</v>
      </c>
      <c r="B24" s="1">
        <v>0.0195791963487864</v>
      </c>
      <c r="C24" s="1">
        <v>0.0182672012597322</v>
      </c>
      <c r="D24" s="1">
        <v>0.0177551917731762</v>
      </c>
      <c r="E24" s="1">
        <v>0.0176607798784971</v>
      </c>
      <c r="F24" s="1">
        <v>0.0176288019865751</v>
      </c>
      <c r="G24" s="1"/>
      <c r="I24">
        <f t="shared" si="0"/>
        <v>0.0181782342493534</v>
      </c>
      <c r="J24">
        <f t="shared" si="1"/>
        <v>0.000824501320031322</v>
      </c>
      <c r="S24" s="3">
        <v>24</v>
      </c>
    </row>
    <row r="25" spans="1:19">
      <c r="A25">
        <v>19.8469390869141</v>
      </c>
      <c r="B25" s="1">
        <v>0.0177215952426195</v>
      </c>
      <c r="C25" s="1">
        <v>0.0176303926855326</v>
      </c>
      <c r="D25" s="1">
        <v>0.01754080504179</v>
      </c>
      <c r="E25" s="1">
        <v>0.0182975977659225</v>
      </c>
      <c r="F25" s="1">
        <v>0.0183920040726662</v>
      </c>
      <c r="G25" s="1"/>
      <c r="I25">
        <f t="shared" si="0"/>
        <v>0.0179164789617062</v>
      </c>
      <c r="J25">
        <f t="shared" si="1"/>
        <v>0.000397596400123896</v>
      </c>
      <c r="S25" s="3">
        <v>25</v>
      </c>
    </row>
    <row r="26" spans="1:19">
      <c r="A26">
        <v>20.6530609130859</v>
      </c>
      <c r="B26" s="1">
        <v>0.0188319981098175</v>
      </c>
      <c r="C26" s="1">
        <v>0.0177503973245621</v>
      </c>
      <c r="D26" s="1">
        <v>0.0185679942369461</v>
      </c>
      <c r="E26" s="1">
        <v>0.0176047999411821</v>
      </c>
      <c r="F26" s="1">
        <v>0.0176911931484938</v>
      </c>
      <c r="G26" s="1"/>
      <c r="I26">
        <f t="shared" si="0"/>
        <v>0.0180892765522003</v>
      </c>
      <c r="J26">
        <f t="shared" si="1"/>
        <v>0.000567633915409526</v>
      </c>
      <c r="S26" s="3">
        <v>26</v>
      </c>
    </row>
    <row r="27" spans="1:19">
      <c r="A27">
        <v>21.4591846466064</v>
      </c>
      <c r="B27" s="1">
        <v>0.0183503963053227</v>
      </c>
      <c r="C27" s="1">
        <v>0.0163600016385317</v>
      </c>
      <c r="D27" s="1">
        <v>0.018835199996829</v>
      </c>
      <c r="E27" s="1">
        <v>0.0173567999154329</v>
      </c>
      <c r="F27" s="1">
        <v>0.0170848071575165</v>
      </c>
      <c r="G27" s="1"/>
      <c r="I27">
        <f t="shared" si="0"/>
        <v>0.0175974410027266</v>
      </c>
      <c r="J27">
        <f t="shared" si="1"/>
        <v>0.000993849433691648</v>
      </c>
      <c r="S27" s="3">
        <v>27</v>
      </c>
    </row>
    <row r="28" spans="1:19">
      <c r="A28">
        <v>22.2653064727783</v>
      </c>
      <c r="B28" s="1">
        <v>0.0180111937224865</v>
      </c>
      <c r="C28" s="1">
        <v>0.0168287940323353</v>
      </c>
      <c r="D28" s="1">
        <v>0.0161807965487242</v>
      </c>
      <c r="E28" s="1">
        <v>0.0175472032278776</v>
      </c>
      <c r="F28" s="1">
        <v>0.0167567934840918</v>
      </c>
      <c r="G28" s="1"/>
      <c r="I28">
        <f t="shared" si="0"/>
        <v>0.0170649562031031</v>
      </c>
      <c r="J28">
        <f t="shared" si="1"/>
        <v>0.000717705155811619</v>
      </c>
      <c r="S28" s="3">
        <v>28</v>
      </c>
    </row>
    <row r="29" spans="1:19">
      <c r="A29">
        <v>23.0714282989502</v>
      </c>
      <c r="B29" s="1">
        <v>0.0168303847312927</v>
      </c>
      <c r="C29" s="1">
        <v>0.018135990947485</v>
      </c>
      <c r="D29" s="1">
        <v>0.0159088019281626</v>
      </c>
      <c r="E29" s="1">
        <v>0.0168015956878662</v>
      </c>
      <c r="F29" s="1">
        <v>0.0176479909569025</v>
      </c>
      <c r="G29" s="1"/>
      <c r="I29">
        <f t="shared" si="0"/>
        <v>0.0170649528503418</v>
      </c>
      <c r="J29">
        <f t="shared" si="1"/>
        <v>0.000858504541570874</v>
      </c>
      <c r="S29" s="3">
        <v>29</v>
      </c>
    </row>
    <row r="30" spans="1:19">
      <c r="A30">
        <v>23.8775520324707</v>
      </c>
      <c r="B30" s="1">
        <v>0.016070393845439</v>
      </c>
      <c r="C30" s="1">
        <v>0.0163984056562185</v>
      </c>
      <c r="D30" s="1">
        <v>0.0162703990936279</v>
      </c>
      <c r="E30" s="1">
        <v>0.0168735943734646</v>
      </c>
      <c r="F30" s="1">
        <v>0.0161855928599834</v>
      </c>
      <c r="G30" s="1"/>
      <c r="I30">
        <f t="shared" si="0"/>
        <v>0.0163596771657467</v>
      </c>
      <c r="J30">
        <f t="shared" si="1"/>
        <v>0.000311276224375304</v>
      </c>
      <c r="S30" s="3">
        <v>30</v>
      </c>
    </row>
    <row r="31" spans="1:19">
      <c r="A31">
        <v>24.6836738586426</v>
      </c>
      <c r="B31" s="1">
        <v>0.0164847914129496</v>
      </c>
      <c r="C31" s="1">
        <v>0.0167487915605307</v>
      </c>
      <c r="D31" s="1">
        <v>0.0177887938916683</v>
      </c>
      <c r="E31" s="1">
        <v>0.0169567950069904</v>
      </c>
      <c r="F31" s="1">
        <v>0.0168624073266983</v>
      </c>
      <c r="G31" s="1"/>
      <c r="I31">
        <f t="shared" si="0"/>
        <v>0.0169683158397675</v>
      </c>
      <c r="J31">
        <f t="shared" si="1"/>
        <v>0.000491558835970668</v>
      </c>
      <c r="S31" s="3">
        <v>31</v>
      </c>
    </row>
    <row r="32" spans="1:19">
      <c r="A32">
        <v>25.4897956848144</v>
      </c>
      <c r="B32" s="1">
        <v>0.0154224038124085</v>
      </c>
      <c r="C32" s="1">
        <v>0.0179279949516058</v>
      </c>
      <c r="D32" s="1">
        <v>0.0164047926664352</v>
      </c>
      <c r="E32" s="1">
        <v>0.0171807985752821</v>
      </c>
      <c r="F32" s="1">
        <v>0.0177983976900578</v>
      </c>
      <c r="G32" s="1"/>
      <c r="I32">
        <f t="shared" si="0"/>
        <v>0.0169468775391579</v>
      </c>
      <c r="J32">
        <f t="shared" si="1"/>
        <v>0.00104406335395924</v>
      </c>
      <c r="S32" s="3">
        <v>32</v>
      </c>
    </row>
    <row r="33" spans="1:19">
      <c r="A33">
        <v>26.295919418335</v>
      </c>
      <c r="B33" s="1">
        <v>0.0171216055750847</v>
      </c>
      <c r="C33" s="1">
        <v>0.0167279914021492</v>
      </c>
      <c r="D33" s="1">
        <v>0.0171312000602484</v>
      </c>
      <c r="E33" s="1">
        <v>0.0154943969100714</v>
      </c>
      <c r="F33" s="1">
        <v>0.0169983953237534</v>
      </c>
      <c r="G33" s="1"/>
      <c r="I33">
        <f t="shared" si="0"/>
        <v>0.0166947178542614</v>
      </c>
      <c r="J33">
        <f t="shared" si="1"/>
        <v>0.000690443217408258</v>
      </c>
      <c r="S33" s="3">
        <v>33</v>
      </c>
    </row>
    <row r="34" spans="1:19">
      <c r="A34">
        <v>27.1020412445068</v>
      </c>
      <c r="B34" s="1">
        <v>0.0176399946212769</v>
      </c>
      <c r="C34" s="1">
        <v>0.0170191954821348</v>
      </c>
      <c r="D34" s="1">
        <v>0.0160287898033857</v>
      </c>
      <c r="E34" s="1">
        <v>0.015417599119246</v>
      </c>
      <c r="F34" s="1">
        <v>0.0177168026566505</v>
      </c>
      <c r="G34" s="1"/>
      <c r="I34">
        <f t="shared" si="0"/>
        <v>0.0167644763365388</v>
      </c>
      <c r="J34">
        <f t="shared" ref="J34:J50" si="2">SQRT(VAR(B34:F34))</f>
        <v>0.00101163882432746</v>
      </c>
      <c r="S34" s="3">
        <v>34</v>
      </c>
    </row>
    <row r="35" spans="1:19">
      <c r="A35">
        <v>27.9081630706787</v>
      </c>
      <c r="B35" s="1">
        <v>0.0166368037462234</v>
      </c>
      <c r="C35" s="1">
        <v>0.016459196805954</v>
      </c>
      <c r="D35" s="1">
        <v>0.016265606507659</v>
      </c>
      <c r="E35" s="1">
        <v>0.0162191949784756</v>
      </c>
      <c r="F35" s="1">
        <v>0.0174800027161837</v>
      </c>
      <c r="G35" s="1"/>
      <c r="I35">
        <f t="shared" si="0"/>
        <v>0.0166121609508991</v>
      </c>
      <c r="J35">
        <f t="shared" si="2"/>
        <v>0.00051275648805858</v>
      </c>
      <c r="S35" s="3">
        <v>35</v>
      </c>
    </row>
    <row r="36" spans="1:19">
      <c r="A36">
        <v>28.7142868041992</v>
      </c>
      <c r="B36" s="1">
        <v>0.0156943928450346</v>
      </c>
      <c r="C36" s="1">
        <v>0.0155199887230992</v>
      </c>
      <c r="D36" s="1">
        <v>0.0171919967979193</v>
      </c>
      <c r="E36" s="1">
        <v>0.016739197075367</v>
      </c>
      <c r="F36" s="1">
        <v>0.0157151930034161</v>
      </c>
      <c r="G36" s="1"/>
      <c r="I36">
        <f t="shared" si="0"/>
        <v>0.0161721536889672</v>
      </c>
      <c r="J36">
        <f t="shared" si="2"/>
        <v>0.000745655048225547</v>
      </c>
      <c r="S36" s="3">
        <v>36</v>
      </c>
    </row>
    <row r="37" spans="1:19">
      <c r="A37">
        <v>29.5204086303711</v>
      </c>
      <c r="B37" s="1">
        <v>0.0150255979970098</v>
      </c>
      <c r="C37" s="1">
        <v>0.0167615972459316</v>
      </c>
      <c r="D37" s="1">
        <v>0.0163088049739599</v>
      </c>
      <c r="E37" s="1">
        <v>0.0164927989244461</v>
      </c>
      <c r="F37" s="1">
        <v>0.0161759965121746</v>
      </c>
      <c r="G37" s="1"/>
      <c r="I37">
        <f t="shared" si="0"/>
        <v>0.0161529591307044</v>
      </c>
      <c r="J37">
        <f t="shared" si="2"/>
        <v>0.000667400407230906</v>
      </c>
      <c r="S37" s="3">
        <v>37</v>
      </c>
    </row>
    <row r="38" spans="1:19">
      <c r="A38">
        <v>30.326530456543</v>
      </c>
      <c r="B38" s="1">
        <v>0.0169680025428534</v>
      </c>
      <c r="C38" s="1">
        <v>0.0163775980472565</v>
      </c>
      <c r="D38" s="1">
        <v>0.0175727978348732</v>
      </c>
      <c r="E38" s="1">
        <v>0.0153664033859968</v>
      </c>
      <c r="F38" s="1">
        <v>0.0159760061651468</v>
      </c>
      <c r="G38" s="1"/>
      <c r="I38">
        <f t="shared" si="0"/>
        <v>0.0164521615952253</v>
      </c>
      <c r="J38">
        <f t="shared" si="2"/>
        <v>0.000856310701505017</v>
      </c>
      <c r="S38" s="3">
        <v>38</v>
      </c>
    </row>
    <row r="39" spans="1:19">
      <c r="A39">
        <v>31.1326541900635</v>
      </c>
      <c r="B39" s="1">
        <v>0.0165151953697205</v>
      </c>
      <c r="C39" s="1">
        <v>0.0152991963550448</v>
      </c>
      <c r="D39" s="1">
        <v>0.0161872003227472</v>
      </c>
      <c r="E39" s="1">
        <v>0.0157984010875225</v>
      </c>
      <c r="F39" s="1">
        <v>0.0171103961765766</v>
      </c>
      <c r="G39" s="1"/>
      <c r="I39">
        <f t="shared" si="0"/>
        <v>0.0161820778623223</v>
      </c>
      <c r="J39">
        <f t="shared" si="2"/>
        <v>0.000689103771091355</v>
      </c>
      <c r="S39" s="3">
        <v>39</v>
      </c>
    </row>
    <row r="40" spans="1:19">
      <c r="A40">
        <v>31.9387760162354</v>
      </c>
      <c r="B40" s="1">
        <v>0.0156543981283903</v>
      </c>
      <c r="C40" s="1">
        <v>0.0156415998935699</v>
      </c>
      <c r="D40" s="1">
        <v>0.0162543971091509</v>
      </c>
      <c r="E40" s="1">
        <v>0.0167152006179094</v>
      </c>
      <c r="F40" s="1">
        <v>0.0163247939199209</v>
      </c>
      <c r="G40" s="1"/>
      <c r="I40">
        <f t="shared" si="0"/>
        <v>0.0161180779337883</v>
      </c>
      <c r="J40">
        <f t="shared" si="2"/>
        <v>0.000463654020022094</v>
      </c>
      <c r="S40" s="3">
        <v>40</v>
      </c>
    </row>
    <row r="41" spans="1:19">
      <c r="A41">
        <v>32.7448997497559</v>
      </c>
      <c r="B41" s="1">
        <v>0.0160943903028965</v>
      </c>
      <c r="C41" s="1">
        <v>0.0170527976006269</v>
      </c>
      <c r="D41" s="1">
        <v>0.0162447951734066</v>
      </c>
      <c r="E41" s="1">
        <v>0.016878392547369</v>
      </c>
      <c r="F41" s="1">
        <v>0.0158735997974873</v>
      </c>
      <c r="G41" s="1"/>
      <c r="I41">
        <f t="shared" si="0"/>
        <v>0.0164287950843573</v>
      </c>
      <c r="J41">
        <f t="shared" si="2"/>
        <v>0.00051123413195759</v>
      </c>
      <c r="S41" s="3">
        <v>41</v>
      </c>
    </row>
    <row r="42" spans="1:19">
      <c r="A42">
        <v>33.5510215759277</v>
      </c>
      <c r="B42" s="1">
        <v>0.0167135931551456</v>
      </c>
      <c r="C42" s="1">
        <v>0.0159535985440016</v>
      </c>
      <c r="D42" s="1">
        <v>0.0159375965595245</v>
      </c>
      <c r="E42" s="1">
        <v>0.0158783979713917</v>
      </c>
      <c r="F42" s="1">
        <v>0.0164864026010037</v>
      </c>
      <c r="G42" s="1"/>
      <c r="I42">
        <f t="shared" si="0"/>
        <v>0.0161939177662134</v>
      </c>
      <c r="J42">
        <f t="shared" si="2"/>
        <v>0.000380334234237272</v>
      </c>
      <c r="S42" s="3">
        <v>42</v>
      </c>
    </row>
    <row r="43" spans="1:19">
      <c r="A43">
        <v>34.3571434020996</v>
      </c>
      <c r="B43" s="1">
        <v>0.0155983874574304</v>
      </c>
      <c r="C43" s="1">
        <v>0.016548790037632</v>
      </c>
      <c r="D43" s="1">
        <v>0.0158543977886438</v>
      </c>
      <c r="E43" s="1">
        <v>0.0171135887503624</v>
      </c>
      <c r="F43" s="1">
        <v>0.0166719984263182</v>
      </c>
      <c r="G43" s="1"/>
      <c r="I43">
        <f t="shared" si="0"/>
        <v>0.0163574324920773</v>
      </c>
      <c r="J43">
        <f t="shared" si="2"/>
        <v>0.000619785245397516</v>
      </c>
      <c r="S43" s="3">
        <v>43</v>
      </c>
    </row>
    <row r="44" spans="1:19">
      <c r="A44">
        <v>35.1632652282715</v>
      </c>
      <c r="B44" s="1">
        <v>0.016361590474844</v>
      </c>
      <c r="C44" s="1">
        <v>0.015180803835392</v>
      </c>
      <c r="D44" s="1">
        <v>0.0161872059106827</v>
      </c>
      <c r="E44" s="1">
        <v>0.0162128005176783</v>
      </c>
      <c r="F44" s="1">
        <v>0.0161743927747011</v>
      </c>
      <c r="G44" s="1"/>
      <c r="I44">
        <f t="shared" si="0"/>
        <v>0.0160233587026596</v>
      </c>
      <c r="J44">
        <f t="shared" si="2"/>
        <v>0.00047692893491675</v>
      </c>
      <c r="S44" s="3">
        <v>44</v>
      </c>
    </row>
    <row r="45" spans="1:19">
      <c r="A45">
        <v>35.9693870544434</v>
      </c>
      <c r="B45" s="1">
        <v>0.0164559949189425</v>
      </c>
      <c r="C45" s="1">
        <v>0.0161679983139038</v>
      </c>
      <c r="D45" s="1">
        <v>0.0158047880977392</v>
      </c>
      <c r="E45" s="1">
        <v>0.0158783998340368</v>
      </c>
      <c r="F45" s="1">
        <v>0.0162736047059298</v>
      </c>
      <c r="G45" s="1"/>
      <c r="I45">
        <f t="shared" si="0"/>
        <v>0.0161161571741104</v>
      </c>
      <c r="J45">
        <f t="shared" si="2"/>
        <v>0.000272234355079772</v>
      </c>
      <c r="S45" s="3">
        <v>45</v>
      </c>
    </row>
    <row r="46" spans="1:19">
      <c r="A46">
        <v>36.7755088806152</v>
      </c>
      <c r="B46" s="1">
        <v>0.0163184013217688</v>
      </c>
      <c r="C46" s="1">
        <v>0.0156543999910355</v>
      </c>
      <c r="D46" s="1">
        <v>0.0158256012946367</v>
      </c>
      <c r="E46" s="1">
        <v>0.015873596072197</v>
      </c>
      <c r="F46" s="1">
        <v>0.0160143971443176</v>
      </c>
      <c r="G46" s="1"/>
      <c r="I46">
        <f t="shared" si="0"/>
        <v>0.0159372791647911</v>
      </c>
      <c r="J46">
        <f t="shared" si="2"/>
        <v>0.000248872151523029</v>
      </c>
      <c r="S46" s="3">
        <v>46</v>
      </c>
    </row>
    <row r="47" spans="1:19">
      <c r="A47">
        <v>37.5816345214844</v>
      </c>
      <c r="B47" s="1">
        <v>0.015806395560503</v>
      </c>
      <c r="C47" s="1">
        <v>0.0157007910311222</v>
      </c>
      <c r="D47" s="1">
        <v>0.0161727908998728</v>
      </c>
      <c r="E47" s="1">
        <v>0.0154127990826964</v>
      </c>
      <c r="F47" s="1">
        <v>0.0161983910948038</v>
      </c>
      <c r="G47" s="1"/>
      <c r="I47">
        <f t="shared" si="0"/>
        <v>0.0158582335337996</v>
      </c>
      <c r="J47">
        <f t="shared" si="2"/>
        <v>0.000331866189229058</v>
      </c>
      <c r="S47" s="3">
        <v>47</v>
      </c>
    </row>
    <row r="48" spans="1:19">
      <c r="A48">
        <v>38.3877563476563</v>
      </c>
      <c r="B48" s="1">
        <v>0.0160527974367142</v>
      </c>
      <c r="C48" s="1">
        <v>0.0161808039993048</v>
      </c>
      <c r="D48" s="1">
        <v>0.0157488062977791</v>
      </c>
      <c r="E48" s="1">
        <v>0.0159455928951502</v>
      </c>
      <c r="F48" s="1">
        <v>0.0165007952600718</v>
      </c>
      <c r="G48" s="1"/>
      <c r="I48">
        <f t="shared" si="0"/>
        <v>0.016085759177804</v>
      </c>
      <c r="J48">
        <f t="shared" si="2"/>
        <v>0.000280873091539601</v>
      </c>
      <c r="S48" s="3">
        <v>48</v>
      </c>
    </row>
    <row r="49" spans="1:19">
      <c r="A49">
        <v>39.1938781738281</v>
      </c>
      <c r="B49" s="1">
        <v>0.0160479974001646</v>
      </c>
      <c r="C49" s="1">
        <v>0.0151407849043608</v>
      </c>
      <c r="D49" s="1">
        <v>0.0160448104143143</v>
      </c>
      <c r="E49" s="1">
        <v>0.0152191985398531</v>
      </c>
      <c r="F49" s="1">
        <v>0.0156447980552912</v>
      </c>
      <c r="G49" s="1"/>
      <c r="I49">
        <f t="shared" si="0"/>
        <v>0.0156195178627968</v>
      </c>
      <c r="J49">
        <f t="shared" si="2"/>
        <v>0.000434323716329978</v>
      </c>
      <c r="S49" s="3">
        <v>49</v>
      </c>
    </row>
    <row r="50" spans="1:19">
      <c r="A50">
        <v>40</v>
      </c>
      <c r="B50" s="1">
        <v>0.0158767960965633</v>
      </c>
      <c r="C50" s="1">
        <v>0.0158575978130102</v>
      </c>
      <c r="D50" s="1">
        <v>0.0158800017088652</v>
      </c>
      <c r="E50" s="1">
        <v>0.0162720009684563</v>
      </c>
      <c r="F50" s="1">
        <v>0.0161216054111719</v>
      </c>
      <c r="G50" s="1"/>
      <c r="I50">
        <f t="shared" si="0"/>
        <v>0.0160016003996134</v>
      </c>
      <c r="J50">
        <f t="shared" si="2"/>
        <v>0.000186156366416535</v>
      </c>
      <c r="S50" s="3">
        <v>50</v>
      </c>
    </row>
    <row r="53" spans="2:10">
      <c r="B53" s="1">
        <v>0</v>
      </c>
      <c r="C53" s="1">
        <v>0</v>
      </c>
      <c r="D53" s="1">
        <v>2.37531809542738e-13</v>
      </c>
      <c r="E53" s="1">
        <v>0</v>
      </c>
      <c r="F53" s="1">
        <v>0</v>
      </c>
      <c r="G53" s="1"/>
      <c r="I53">
        <f t="shared" ref="I53:I102" si="3">AVERAGE(B53:H53)</f>
        <v>4.75063619085476e-14</v>
      </c>
      <c r="J53">
        <f t="shared" ref="J51:J82" si="4">SQRT(VAR(B53:F53))</f>
        <v>1.06227454591219e-13</v>
      </c>
    </row>
    <row r="54" spans="2:10">
      <c r="B54" s="1">
        <v>0</v>
      </c>
      <c r="C54" s="1">
        <v>6.24255204820234e-12</v>
      </c>
      <c r="D54" s="1">
        <v>0</v>
      </c>
      <c r="E54" s="1">
        <v>0</v>
      </c>
      <c r="F54" s="1">
        <v>0</v>
      </c>
      <c r="G54" s="1"/>
      <c r="I54">
        <f t="shared" si="3"/>
        <v>1.24851040964047e-12</v>
      </c>
      <c r="J54">
        <f t="shared" si="4"/>
        <v>2.7917541465722e-12</v>
      </c>
    </row>
    <row r="55" spans="2:10">
      <c r="B55" s="1">
        <v>1.71422381498032e-12</v>
      </c>
      <c r="C55" s="1">
        <v>6.1743795840008e-12</v>
      </c>
      <c r="D55" s="1">
        <v>1.10447284998316e-12</v>
      </c>
      <c r="E55" s="1">
        <v>6.4818606211603e-12</v>
      </c>
      <c r="F55" s="1">
        <v>2.32048798579076e-12</v>
      </c>
      <c r="G55" s="1"/>
      <c r="I55">
        <f t="shared" si="3"/>
        <v>3.55908497118307e-12</v>
      </c>
      <c r="J55">
        <f t="shared" si="4"/>
        <v>2.56637581305639e-12</v>
      </c>
    </row>
    <row r="56" spans="2:10">
      <c r="B56" s="1">
        <v>8.5625173618098e-11</v>
      </c>
      <c r="C56" s="1">
        <v>4.24075184690675e-11</v>
      </c>
      <c r="D56" s="1">
        <v>7.44289612580884e-12</v>
      </c>
      <c r="E56" s="1">
        <v>6.46573905527248e-11</v>
      </c>
      <c r="F56" s="1">
        <v>1.14663327444031e-10</v>
      </c>
      <c r="G56" s="1"/>
      <c r="I56">
        <f t="shared" si="3"/>
        <v>6.2959261241946e-11</v>
      </c>
      <c r="J56">
        <f t="shared" si="4"/>
        <v>4.09095912211914e-11</v>
      </c>
    </row>
    <row r="57" spans="2:10">
      <c r="B57" s="1">
        <v>5.57373147636042e-10</v>
      </c>
      <c r="C57" s="1">
        <v>7.91070098316027e-10</v>
      </c>
      <c r="D57" s="1">
        <v>1.9870454170956e-9</v>
      </c>
      <c r="E57" s="1">
        <v>1.0100237313182e-9</v>
      </c>
      <c r="F57" s="1">
        <v>2.31696595243136e-9</v>
      </c>
      <c r="G57" s="1"/>
      <c r="I57">
        <f t="shared" si="3"/>
        <v>1.33249566935945e-9</v>
      </c>
      <c r="J57">
        <f t="shared" si="4"/>
        <v>7.73880131867942e-10</v>
      </c>
    </row>
    <row r="58" spans="2:10">
      <c r="B58" s="1">
        <v>9.49876532985172e-9</v>
      </c>
      <c r="C58" s="1">
        <v>2.02505567870048e-8</v>
      </c>
      <c r="D58" s="1">
        <v>2.84441958875448e-9</v>
      </c>
      <c r="E58" s="1">
        <v>9.6827106332853e-9</v>
      </c>
      <c r="F58" s="1">
        <v>3.50102489221627e-8</v>
      </c>
      <c r="G58" s="1"/>
      <c r="I58">
        <f t="shared" si="3"/>
        <v>1.54573402522118e-8</v>
      </c>
      <c r="J58">
        <f t="shared" si="4"/>
        <v>1.25820098971576e-8</v>
      </c>
    </row>
    <row r="59" spans="2:10">
      <c r="B59" s="1">
        <v>3.11526058283107e-8</v>
      </c>
      <c r="C59" s="1">
        <v>5.82785375513595e-8</v>
      </c>
      <c r="D59" s="1">
        <v>4.23631689727699e-8</v>
      </c>
      <c r="E59" s="1">
        <v>1.05170379072206e-7</v>
      </c>
      <c r="F59" s="1">
        <v>3.62723575619839e-8</v>
      </c>
      <c r="G59" s="1"/>
      <c r="I59">
        <f t="shared" si="3"/>
        <v>5.4647409797326e-8</v>
      </c>
      <c r="J59">
        <f t="shared" si="4"/>
        <v>3.00262653519643e-8</v>
      </c>
    </row>
    <row r="60" spans="2:10">
      <c r="B60" s="1">
        <v>5.20638195666834e-7</v>
      </c>
      <c r="C60" s="1">
        <v>8.48063507419283e-7</v>
      </c>
      <c r="D60" s="1">
        <v>2.17109288769279e-7</v>
      </c>
      <c r="E60" s="1">
        <v>3.06001936678513e-7</v>
      </c>
      <c r="F60" s="1">
        <v>2.98270435905579e-7</v>
      </c>
      <c r="G60" s="1"/>
      <c r="I60">
        <f t="shared" si="3"/>
        <v>4.38016672887898e-7</v>
      </c>
      <c r="J60">
        <f t="shared" si="4"/>
        <v>2.55304571160018e-7</v>
      </c>
    </row>
    <row r="61" spans="2:10">
      <c r="B61" s="1">
        <v>2.45538035414938e-6</v>
      </c>
      <c r="C61" s="1">
        <v>1.40996644404368e-6</v>
      </c>
      <c r="D61" s="1">
        <v>4.92576737087802e-6</v>
      </c>
      <c r="E61" s="1">
        <v>3.97898747905856e-6</v>
      </c>
      <c r="F61" s="1">
        <v>2.21872278416413e-6</v>
      </c>
      <c r="G61" s="1"/>
      <c r="I61">
        <f t="shared" si="3"/>
        <v>2.99776488645875e-6</v>
      </c>
      <c r="J61">
        <f t="shared" si="4"/>
        <v>1.42321667604822e-6</v>
      </c>
    </row>
    <row r="62" spans="2:10">
      <c r="B62" s="1">
        <v>5.45147740922403e-5</v>
      </c>
      <c r="C62" s="1">
        <v>3.33822390530258e-5</v>
      </c>
      <c r="D62" s="1">
        <v>4.9747646698961e-5</v>
      </c>
      <c r="E62" s="1">
        <v>3.09178867610171e-5</v>
      </c>
      <c r="F62" s="1">
        <v>2.8484791982919e-5</v>
      </c>
      <c r="G62" s="1"/>
      <c r="I62">
        <f t="shared" si="3"/>
        <v>3.94094677176326e-5</v>
      </c>
      <c r="J62">
        <f t="shared" si="4"/>
        <v>1.18620318426861e-5</v>
      </c>
    </row>
    <row r="63" spans="2:10">
      <c r="B63" s="2">
        <v>0.0043419721126556</v>
      </c>
      <c r="C63" s="1">
        <v>0.00433096243068576</v>
      </c>
      <c r="D63" s="2">
        <v>0.00288380713714286</v>
      </c>
      <c r="E63" s="1">
        <v>0.00185210630297661</v>
      </c>
      <c r="F63" s="1">
        <v>0.00246310024522245</v>
      </c>
      <c r="G63" s="1"/>
      <c r="I63">
        <f t="shared" si="3"/>
        <v>0.00317438964573666</v>
      </c>
      <c r="J63">
        <f t="shared" si="4"/>
        <v>0.00112246530771185</v>
      </c>
    </row>
    <row r="64" spans="2:10">
      <c r="B64" s="1">
        <v>0.000155627989443019</v>
      </c>
      <c r="C64" s="1">
        <v>0.000520154717378318</v>
      </c>
      <c r="D64" s="1">
        <v>0.000631269416771829</v>
      </c>
      <c r="E64" s="1">
        <v>0.000154013803694397</v>
      </c>
      <c r="F64" s="1">
        <v>0.000555977574549615</v>
      </c>
      <c r="G64" s="1"/>
      <c r="I64">
        <f t="shared" si="3"/>
        <v>0.000403408700367436</v>
      </c>
      <c r="J64">
        <f t="shared" si="4"/>
        <v>0.000230445489829054</v>
      </c>
    </row>
    <row r="65" spans="2:10">
      <c r="B65" s="1">
        <v>5.05624084325973e-5</v>
      </c>
      <c r="C65" s="1">
        <v>4.49305262009148e-5</v>
      </c>
      <c r="D65" s="1">
        <v>3.78966651624069e-5</v>
      </c>
      <c r="E65" s="1">
        <v>1.76799530891003e-5</v>
      </c>
      <c r="F65" s="1">
        <v>4.48714417871088e-5</v>
      </c>
      <c r="G65" s="1"/>
      <c r="I65">
        <f t="shared" si="3"/>
        <v>3.91881989344256e-5</v>
      </c>
      <c r="J65">
        <f t="shared" si="4"/>
        <v>1.28347079465561e-5</v>
      </c>
    </row>
    <row r="66" spans="2:10">
      <c r="B66" s="1">
        <v>1.93236974155298e-5</v>
      </c>
      <c r="C66" s="1">
        <v>3.63162075700529e-6</v>
      </c>
      <c r="D66" s="1">
        <v>1.46188349390286e-5</v>
      </c>
      <c r="E66" s="1">
        <v>1.8016320609604e-5</v>
      </c>
      <c r="F66" s="1">
        <v>1.85423032235121e-5</v>
      </c>
      <c r="G66" s="1"/>
      <c r="I66">
        <f t="shared" si="3"/>
        <v>1.4826555388936e-5</v>
      </c>
      <c r="J66">
        <f t="shared" si="4"/>
        <v>6.51105559297046e-6</v>
      </c>
    </row>
    <row r="67" spans="2:10">
      <c r="B67" s="1">
        <v>4.70123359264107e-6</v>
      </c>
      <c r="C67" s="1">
        <v>6.90321212459821e-6</v>
      </c>
      <c r="D67" s="1">
        <v>1.19882161015994e-5</v>
      </c>
      <c r="E67" s="1">
        <v>6.27173585598939e-6</v>
      </c>
      <c r="F67" s="1">
        <v>1.51958454353007e-6</v>
      </c>
      <c r="G67" s="1"/>
      <c r="I67">
        <f t="shared" si="3"/>
        <v>6.27679644367163e-6</v>
      </c>
      <c r="J67">
        <f t="shared" si="4"/>
        <v>3.81202702260288e-6</v>
      </c>
    </row>
    <row r="68" spans="2:10">
      <c r="B68" s="1">
        <v>4.18134413848747e-6</v>
      </c>
      <c r="C68" s="1">
        <v>5.54442158318125e-6</v>
      </c>
      <c r="D68" s="1">
        <v>6.09518292549183e-6</v>
      </c>
      <c r="E68" s="1">
        <v>6.50437550575589e-6</v>
      </c>
      <c r="F68" s="1">
        <v>2.69457973445242e-6</v>
      </c>
      <c r="G68" s="1"/>
      <c r="I68">
        <f t="shared" si="3"/>
        <v>5.00398077747377e-6</v>
      </c>
      <c r="J68">
        <f t="shared" si="4"/>
        <v>1.56077280139363e-6</v>
      </c>
    </row>
    <row r="69" spans="2:10">
      <c r="B69" s="1">
        <v>3.84917848350597e-6</v>
      </c>
      <c r="C69" s="1">
        <v>1.5661520365029e-6</v>
      </c>
      <c r="D69" s="1">
        <v>5.65991342682537e-7</v>
      </c>
      <c r="E69" s="1">
        <v>4.16972898165113e-6</v>
      </c>
      <c r="F69" s="1">
        <v>3.71970190826687e-6</v>
      </c>
      <c r="G69" s="1"/>
      <c r="I69">
        <f t="shared" si="3"/>
        <v>2.77415055052188e-6</v>
      </c>
      <c r="J69">
        <f t="shared" si="4"/>
        <v>1.60721957750803e-6</v>
      </c>
    </row>
    <row r="70" spans="2:10">
      <c r="B70" s="1">
        <v>9.90570129033586e-7</v>
      </c>
      <c r="C70" s="1">
        <v>2.34810067922808e-6</v>
      </c>
      <c r="D70" s="1">
        <v>1.5441588629983e-6</v>
      </c>
      <c r="E70" s="1">
        <v>7.3811838774418e-7</v>
      </c>
      <c r="F70" s="1">
        <v>2.466095793352e-6</v>
      </c>
      <c r="G70" s="1"/>
      <c r="I70">
        <f t="shared" si="3"/>
        <v>1.61740877047123e-6</v>
      </c>
      <c r="J70">
        <f t="shared" si="4"/>
        <v>7.78720767802782e-7</v>
      </c>
    </row>
    <row r="71" spans="2:10">
      <c r="B71" s="1">
        <v>2.43752788264828e-6</v>
      </c>
      <c r="C71" s="1">
        <v>1.79979156200716e-6</v>
      </c>
      <c r="D71" s="1">
        <v>2.12450390790764e-6</v>
      </c>
      <c r="E71" s="1">
        <v>1.40643840040866e-6</v>
      </c>
      <c r="F71" s="1">
        <v>1.43007548558671e-6</v>
      </c>
      <c r="G71" s="1"/>
      <c r="I71">
        <f t="shared" si="3"/>
        <v>1.83966744771169e-6</v>
      </c>
      <c r="J71">
        <f t="shared" si="4"/>
        <v>4.45985419561203e-7</v>
      </c>
    </row>
    <row r="72" spans="2:10">
      <c r="B72" s="1">
        <v>1.81852146852179e-6</v>
      </c>
      <c r="C72" s="1">
        <v>8.7429555151175e-7</v>
      </c>
      <c r="D72" s="1">
        <v>5.608137598756e-7</v>
      </c>
      <c r="E72" s="1">
        <v>1.19253763841698e-6</v>
      </c>
      <c r="F72" s="1">
        <v>1.01394425655599e-6</v>
      </c>
      <c r="G72" s="1"/>
      <c r="I72">
        <f t="shared" si="3"/>
        <v>1.09202253497642e-6</v>
      </c>
      <c r="J72">
        <f t="shared" si="4"/>
        <v>4.67329649737758e-7</v>
      </c>
    </row>
    <row r="73" spans="2:10">
      <c r="B73" s="1">
        <v>6.98287976774736e-7</v>
      </c>
      <c r="C73" s="1">
        <v>8.91826061888423e-7</v>
      </c>
      <c r="D73" s="1">
        <v>6.41433928194601e-7</v>
      </c>
      <c r="E73" s="1">
        <v>4.72880344659643e-7</v>
      </c>
      <c r="F73" s="1">
        <v>6.12381711562193e-7</v>
      </c>
      <c r="G73" s="1"/>
      <c r="I73">
        <f t="shared" si="3"/>
        <v>6.63362004615919e-7</v>
      </c>
      <c r="J73">
        <f t="shared" si="4"/>
        <v>1.52298015902813e-7</v>
      </c>
    </row>
    <row r="74" spans="2:10">
      <c r="B74" s="1">
        <v>8.06881303105911e-7</v>
      </c>
      <c r="C74" s="1">
        <v>5.70465147120558e-7</v>
      </c>
      <c r="D74" s="1">
        <v>1.09513212009915e-6</v>
      </c>
      <c r="E74" s="1">
        <v>3.9850698385635e-7</v>
      </c>
      <c r="F74" s="1">
        <v>1.77509048171487e-6</v>
      </c>
      <c r="G74" s="1"/>
      <c r="I74">
        <f t="shared" si="3"/>
        <v>9.29215207179368e-7</v>
      </c>
      <c r="J74">
        <f t="shared" si="4"/>
        <v>5.40451619028954e-7</v>
      </c>
    </row>
    <row r="75" spans="2:10">
      <c r="B75" s="1">
        <v>1.14882209345524e-6</v>
      </c>
      <c r="C75" s="1">
        <v>1.00221836873971e-6</v>
      </c>
      <c r="D75" s="1">
        <v>2.67623363470193e-7</v>
      </c>
      <c r="E75" s="1">
        <v>8.53894050578674e-7</v>
      </c>
      <c r="F75" s="1">
        <v>1.1576190672713e-6</v>
      </c>
      <c r="G75" s="1"/>
      <c r="I75">
        <f t="shared" si="3"/>
        <v>8.86035388703023e-7</v>
      </c>
      <c r="J75">
        <f t="shared" si="4"/>
        <v>3.67348448369666e-7</v>
      </c>
    </row>
    <row r="76" spans="2:10">
      <c r="B76" s="1">
        <v>6.71047416744841e-7</v>
      </c>
      <c r="C76" s="1">
        <v>4.04867961378841e-7</v>
      </c>
      <c r="D76" s="1">
        <v>5.54560813270655e-7</v>
      </c>
      <c r="E76" s="1">
        <v>6.46619582767016e-7</v>
      </c>
      <c r="F76" s="1">
        <v>2.19238629028951e-7</v>
      </c>
      <c r="G76" s="1"/>
      <c r="I76">
        <f t="shared" si="3"/>
        <v>4.99266880638061e-7</v>
      </c>
      <c r="J76">
        <f t="shared" si="4"/>
        <v>1.88152709289807e-7</v>
      </c>
    </row>
    <row r="77" spans="2:10">
      <c r="B77" s="1">
        <v>4.57805981568526e-7</v>
      </c>
      <c r="C77" s="1">
        <v>6.51011589525297e-7</v>
      </c>
      <c r="D77" s="1">
        <v>3.38850639991506e-7</v>
      </c>
      <c r="E77" s="1">
        <v>4.42405053036055e-7</v>
      </c>
      <c r="F77" s="1">
        <v>3.34330991336174e-7</v>
      </c>
      <c r="G77" s="1"/>
      <c r="I77">
        <f t="shared" si="3"/>
        <v>4.44880851091512e-7</v>
      </c>
      <c r="J77">
        <f t="shared" si="4"/>
        <v>1.28575607191793e-7</v>
      </c>
    </row>
    <row r="78" spans="2:10">
      <c r="B78" s="1">
        <v>3.22189066537248e-7</v>
      </c>
      <c r="C78" s="1">
        <v>7.20793764230621e-7</v>
      </c>
      <c r="D78" s="1">
        <v>6.74635202813079e-7</v>
      </c>
      <c r="E78" s="1">
        <v>4.2208429817947e-7</v>
      </c>
      <c r="F78" s="1">
        <v>9.20774027690641e-7</v>
      </c>
      <c r="G78" s="1"/>
      <c r="I78">
        <f t="shared" si="3"/>
        <v>6.12095271890212e-7</v>
      </c>
      <c r="J78">
        <f t="shared" si="4"/>
        <v>2.40394965375772e-7</v>
      </c>
    </row>
    <row r="79" spans="2:10">
      <c r="B79" s="1">
        <v>5.34370997229416e-7</v>
      </c>
      <c r="C79" s="1">
        <v>6.38790368157061e-7</v>
      </c>
      <c r="D79" s="1">
        <v>3.3828061418717e-7</v>
      </c>
      <c r="E79" s="1">
        <v>1.26728775740048e-6</v>
      </c>
      <c r="F79" s="1">
        <v>2.78314132629021e-7</v>
      </c>
      <c r="G79" s="1"/>
      <c r="I79">
        <f t="shared" si="3"/>
        <v>6.1140877392063e-7</v>
      </c>
      <c r="J79">
        <f t="shared" si="4"/>
        <v>3.94465728361662e-7</v>
      </c>
    </row>
    <row r="80" spans="2:10">
      <c r="B80" s="1">
        <v>3.60477883987187e-7</v>
      </c>
      <c r="C80" s="1">
        <v>8.55578662140033e-7</v>
      </c>
      <c r="D80" s="1">
        <v>8.98070311450283e-7</v>
      </c>
      <c r="E80" s="1">
        <v>3.43897568200191e-7</v>
      </c>
      <c r="F80" s="1">
        <v>5.94513210216974e-7</v>
      </c>
      <c r="G80" s="1"/>
      <c r="I80">
        <f t="shared" si="3"/>
        <v>6.10507527198934e-7</v>
      </c>
      <c r="J80">
        <f t="shared" si="4"/>
        <v>2.6296564745482e-7</v>
      </c>
    </row>
    <row r="81" spans="2:10">
      <c r="B81" s="1">
        <v>1.30365975792301e-7</v>
      </c>
      <c r="C81" s="1">
        <v>5.94379116591881e-7</v>
      </c>
      <c r="D81" s="1">
        <v>5.37551784418611e-7</v>
      </c>
      <c r="E81" s="1">
        <v>4.76948855521186e-7</v>
      </c>
      <c r="F81" s="1">
        <v>6.42033569420164e-7</v>
      </c>
      <c r="G81" s="1"/>
      <c r="I81">
        <f t="shared" si="3"/>
        <v>4.76255860348829e-7</v>
      </c>
      <c r="J81">
        <f t="shared" si="4"/>
        <v>2.029980512707e-7</v>
      </c>
    </row>
    <row r="82" spans="2:10">
      <c r="B82" s="1">
        <v>5.4333497701009e-7</v>
      </c>
      <c r="C82" s="1">
        <v>4.80959272408654e-7</v>
      </c>
      <c r="D82" s="1">
        <v>4.70897390414393e-7</v>
      </c>
      <c r="E82" s="1">
        <v>3.40709078727741e-7</v>
      </c>
      <c r="F82" s="1">
        <v>7.25868176232325e-7</v>
      </c>
      <c r="G82" s="1"/>
      <c r="I82">
        <f t="shared" si="3"/>
        <v>5.12353778958641e-7</v>
      </c>
      <c r="J82">
        <f t="shared" si="4"/>
        <v>1.40280418079157e-7</v>
      </c>
    </row>
    <row r="83" spans="2:10">
      <c r="B83" s="1">
        <v>4.24195803816474e-7</v>
      </c>
      <c r="C83" s="1">
        <v>7.29459031845181e-7</v>
      </c>
      <c r="D83" s="1">
        <v>5.72591375203046e-7</v>
      </c>
      <c r="E83" s="1">
        <v>4.51684059044055e-7</v>
      </c>
      <c r="F83" s="1">
        <v>4.42513737652917e-7</v>
      </c>
      <c r="G83" s="1"/>
      <c r="I83">
        <f t="shared" si="3"/>
        <v>5.24088801512335e-7</v>
      </c>
      <c r="J83">
        <f t="shared" ref="J83:J102" si="5">SQRT(VAR(B83:F83))</f>
        <v>1.2884581864172e-7</v>
      </c>
    </row>
    <row r="84" spans="2:10">
      <c r="B84" s="1">
        <v>3.56757652753004e-7</v>
      </c>
      <c r="C84" s="1">
        <v>2.04764830868953e-7</v>
      </c>
      <c r="D84" s="1">
        <v>2.78443792467442e-7</v>
      </c>
      <c r="E84" s="1">
        <v>3.56627879227744e-7</v>
      </c>
      <c r="F84" s="1">
        <v>7.25689005776076e-7</v>
      </c>
      <c r="G84" s="1"/>
      <c r="I84">
        <f t="shared" si="3"/>
        <v>3.84456632218644e-7</v>
      </c>
      <c r="J84">
        <f t="shared" si="5"/>
        <v>2.00940956119277e-7</v>
      </c>
    </row>
    <row r="85" spans="2:10">
      <c r="B85" s="1">
        <v>2.29670888529654e-7</v>
      </c>
      <c r="C85" s="1">
        <v>3.70834527529951e-7</v>
      </c>
      <c r="D85" s="1">
        <v>2.08719768579613e-7</v>
      </c>
      <c r="E85" s="1">
        <v>2.36375626627705e-7</v>
      </c>
      <c r="F85" s="1">
        <v>7.54448933548701e-7</v>
      </c>
      <c r="G85" s="1"/>
      <c r="I85">
        <f t="shared" si="3"/>
        <v>3.60009948963125e-7</v>
      </c>
      <c r="J85">
        <f t="shared" si="5"/>
        <v>2.29598409770486e-7</v>
      </c>
    </row>
    <row r="86" spans="2:10">
      <c r="B86" s="1">
        <v>4.31825952773579e-7</v>
      </c>
      <c r="C86" s="1">
        <v>2.54662552379159e-7</v>
      </c>
      <c r="D86" s="1">
        <v>5.70466511362611e-7</v>
      </c>
      <c r="E86" s="1">
        <v>1.53176608819194e-6</v>
      </c>
      <c r="F86" s="1">
        <v>1.83556451816003e-7</v>
      </c>
      <c r="G86" s="1"/>
      <c r="I86">
        <f t="shared" si="3"/>
        <v>5.94455511304658e-7</v>
      </c>
      <c r="J86">
        <f t="shared" si="5"/>
        <v>5.45406329032541e-7</v>
      </c>
    </row>
    <row r="87" spans="2:10">
      <c r="B87" s="1">
        <v>3.23860405160303e-7</v>
      </c>
      <c r="C87" s="1">
        <v>4.26554720434069e-7</v>
      </c>
      <c r="D87" s="1">
        <v>2.59262748159017e-7</v>
      </c>
      <c r="E87" s="1">
        <v>3.57962505859177e-7</v>
      </c>
      <c r="F87" s="1">
        <v>3.36518041876843e-7</v>
      </c>
      <c r="G87" s="1"/>
      <c r="I87">
        <f t="shared" si="3"/>
        <v>3.40831684297882e-7</v>
      </c>
      <c r="J87">
        <f t="shared" si="5"/>
        <v>6.04194239071745e-8</v>
      </c>
    </row>
    <row r="88" spans="2:10">
      <c r="B88" s="1">
        <v>2.90116418000253e-7</v>
      </c>
      <c r="C88" s="1">
        <v>3.13765127657462e-7</v>
      </c>
      <c r="D88" s="1">
        <v>4.45113528257934e-7</v>
      </c>
      <c r="E88" s="1">
        <v>2.27277396902537e-7</v>
      </c>
      <c r="F88" s="1">
        <v>3.51684377619677e-7</v>
      </c>
      <c r="G88" s="1"/>
      <c r="I88">
        <f t="shared" si="3"/>
        <v>3.25591369687573e-7</v>
      </c>
      <c r="J88">
        <f t="shared" si="5"/>
        <v>8.06696363181535e-8</v>
      </c>
    </row>
    <row r="89" spans="2:10">
      <c r="B89" s="1">
        <v>2.45081395178204e-7</v>
      </c>
      <c r="C89" s="1">
        <v>8.36696017358918e-7</v>
      </c>
      <c r="D89" s="1">
        <v>3.71980945601535e-7</v>
      </c>
      <c r="E89" s="1">
        <v>2.02407946403582e-7</v>
      </c>
      <c r="F89" s="1">
        <v>2.09336434409124e-7</v>
      </c>
      <c r="G89" s="1"/>
      <c r="I89">
        <f t="shared" si="3"/>
        <v>3.73100547790273e-7</v>
      </c>
      <c r="J89">
        <f t="shared" si="5"/>
        <v>2.67985804357626e-7</v>
      </c>
    </row>
    <row r="90" spans="2:10">
      <c r="B90" s="1">
        <v>2.26318107365842e-7</v>
      </c>
      <c r="C90" s="1">
        <v>2.69954853138188e-7</v>
      </c>
      <c r="D90" s="1">
        <v>3.8500809296238e-7</v>
      </c>
      <c r="E90" s="1">
        <v>1.59896103468782e-7</v>
      </c>
      <c r="F90" s="1">
        <v>2.46603946152391e-7</v>
      </c>
      <c r="G90" s="1"/>
      <c r="I90">
        <f t="shared" si="3"/>
        <v>2.57556220617517e-7</v>
      </c>
      <c r="J90">
        <f t="shared" si="5"/>
        <v>8.22054991615258e-8</v>
      </c>
    </row>
    <row r="91" spans="2:10">
      <c r="B91" s="1">
        <v>4.51459669648102e-7</v>
      </c>
      <c r="C91" s="1">
        <v>2.24408495341777e-7</v>
      </c>
      <c r="D91" s="1">
        <v>5.08304424329253e-7</v>
      </c>
      <c r="E91" s="1">
        <v>8.17639772776602e-7</v>
      </c>
      <c r="F91" s="1">
        <v>9.88998252182682e-8</v>
      </c>
      <c r="G91" s="1"/>
      <c r="I91">
        <f t="shared" si="3"/>
        <v>4.201424374628e-7</v>
      </c>
      <c r="J91">
        <f t="shared" si="5"/>
        <v>2.77608550193203e-7</v>
      </c>
    </row>
    <row r="92" spans="2:10">
      <c r="B92" s="1">
        <v>3.76671891899605e-7</v>
      </c>
      <c r="C92" s="1">
        <v>1.43561905474598e-7</v>
      </c>
      <c r="D92" s="1">
        <v>3.55814705699231e-7</v>
      </c>
      <c r="E92" s="1">
        <v>2.51448199151127e-7</v>
      </c>
      <c r="F92" s="1">
        <v>2.7309684469401e-7</v>
      </c>
      <c r="G92" s="1"/>
      <c r="I92">
        <f t="shared" si="3"/>
        <v>2.80118709383714e-7</v>
      </c>
      <c r="J92">
        <f t="shared" si="5"/>
        <v>9.29670188114256e-8</v>
      </c>
    </row>
    <row r="93" spans="2:10">
      <c r="B93" s="1">
        <v>3.23208467989389e-7</v>
      </c>
      <c r="C93" s="1">
        <v>9.22891842947138e-8</v>
      </c>
      <c r="D93" s="1">
        <v>3.26753422541515e-7</v>
      </c>
      <c r="E93" s="1">
        <v>2.0345265738797e-7</v>
      </c>
      <c r="F93" s="1">
        <v>4.91492983201169e-7</v>
      </c>
      <c r="G93" s="1"/>
      <c r="I93">
        <f t="shared" si="3"/>
        <v>2.87439343082951e-7</v>
      </c>
      <c r="J93">
        <f t="shared" si="5"/>
        <v>1.49666515155231e-7</v>
      </c>
    </row>
    <row r="94" spans="2:10">
      <c r="B94" s="1">
        <v>4.22313064518676e-7</v>
      </c>
      <c r="C94" s="1">
        <v>3.32459933360951e-7</v>
      </c>
      <c r="D94" s="1">
        <v>1.40066831022523e-7</v>
      </c>
      <c r="E94" s="1">
        <v>2.42460686195045e-7</v>
      </c>
      <c r="F94" s="1">
        <v>1.89484651968996e-7</v>
      </c>
      <c r="G94" s="1"/>
      <c r="I94">
        <f t="shared" si="3"/>
        <v>2.65357033413238e-7</v>
      </c>
      <c r="J94">
        <f t="shared" si="5"/>
        <v>1.13044781700469e-7</v>
      </c>
    </row>
    <row r="95" spans="2:10">
      <c r="B95" s="1">
        <v>4.47417392024363e-7</v>
      </c>
      <c r="C95" s="1">
        <v>1.77931269718101e-7</v>
      </c>
      <c r="D95" s="1">
        <v>3.53002747033315e-7</v>
      </c>
      <c r="E95" s="1">
        <v>8.98189910003566e-7</v>
      </c>
      <c r="F95" s="1">
        <v>3.30802436110389e-7</v>
      </c>
      <c r="G95" s="1"/>
      <c r="I95">
        <f t="shared" si="3"/>
        <v>4.41468750977947e-7</v>
      </c>
      <c r="J95">
        <f t="shared" si="5"/>
        <v>2.7301779912722e-7</v>
      </c>
    </row>
    <row r="96" spans="2:10">
      <c r="B96" s="1">
        <v>1.6383837930789e-7</v>
      </c>
      <c r="C96" s="1">
        <v>2.78214542959177e-7</v>
      </c>
      <c r="D96" s="1">
        <v>3.24501371551378e-7</v>
      </c>
      <c r="E96" s="1">
        <v>5.06748222051101e-7</v>
      </c>
      <c r="F96" s="1">
        <v>4.80410335512715e-7</v>
      </c>
      <c r="G96" s="1"/>
      <c r="I96">
        <f t="shared" si="3"/>
        <v>3.50742570276452e-7</v>
      </c>
      <c r="J96">
        <f t="shared" si="5"/>
        <v>1.43207528246315e-7</v>
      </c>
    </row>
    <row r="97" spans="2:10">
      <c r="B97" s="1">
        <v>3.85587213713734e-7</v>
      </c>
      <c r="C97" s="1">
        <v>1.2647947755795e-7</v>
      </c>
      <c r="D97" s="1">
        <v>3.79511902792729e-7</v>
      </c>
      <c r="E97" s="1">
        <v>3.43098491839555e-7</v>
      </c>
      <c r="F97" s="1">
        <v>2.96635136010082e-7</v>
      </c>
      <c r="G97" s="1"/>
      <c r="I97">
        <f t="shared" si="3"/>
        <v>3.0626244438281e-7</v>
      </c>
      <c r="J97">
        <f t="shared" si="5"/>
        <v>1.06570864693216e-7</v>
      </c>
    </row>
    <row r="98" spans="2:10">
      <c r="B98" s="1">
        <v>3.18095089824055e-7</v>
      </c>
      <c r="C98" s="1">
        <v>4.28339973268521e-7</v>
      </c>
      <c r="D98" s="1">
        <v>4.99147972732317e-7</v>
      </c>
      <c r="E98" s="1">
        <v>5.35083643171674e-7</v>
      </c>
      <c r="F98" s="1">
        <v>5.9570743360382e-7</v>
      </c>
      <c r="G98" s="1"/>
      <c r="I98">
        <f t="shared" si="3"/>
        <v>4.75274822520077e-7</v>
      </c>
      <c r="J98">
        <f t="shared" si="5"/>
        <v>1.06723222151857e-7</v>
      </c>
    </row>
    <row r="99" spans="2:10">
      <c r="B99" s="1">
        <v>1.90180145409613e-7</v>
      </c>
      <c r="C99" s="1">
        <v>2.63102805320159e-7</v>
      </c>
      <c r="D99" s="1">
        <v>1.60107873625748e-7</v>
      </c>
      <c r="E99" s="1">
        <v>1.74295351484943e-7</v>
      </c>
      <c r="F99" s="1">
        <v>5.87526074014022e-7</v>
      </c>
      <c r="G99" s="1"/>
      <c r="I99">
        <f t="shared" si="3"/>
        <v>2.75042449970897e-7</v>
      </c>
      <c r="J99">
        <f t="shared" si="5"/>
        <v>1.79129922010493e-7</v>
      </c>
    </row>
    <row r="100" spans="2:10">
      <c r="B100" s="1">
        <v>4.43615647327533e-7</v>
      </c>
      <c r="C100" s="1">
        <v>3.95859359514361e-7</v>
      </c>
      <c r="D100" s="1">
        <v>3.615360810727e-7</v>
      </c>
      <c r="E100" s="1">
        <v>4.02666387344652e-7</v>
      </c>
      <c r="F100" s="1">
        <v>3.13221704573152e-7</v>
      </c>
      <c r="G100" s="1"/>
      <c r="I100">
        <f t="shared" si="3"/>
        <v>3.8337983596648e-7</v>
      </c>
      <c r="J100">
        <f t="shared" si="5"/>
        <v>4.88758006861073e-8</v>
      </c>
    </row>
    <row r="101" spans="2:10">
      <c r="B101" s="1">
        <v>3.43217749332325e-7</v>
      </c>
      <c r="C101" s="1">
        <v>1.21289119192625e-7</v>
      </c>
      <c r="D101" s="1">
        <v>2.14566824752183e-7</v>
      </c>
      <c r="E101" s="1">
        <v>4.46219075911358e-7</v>
      </c>
      <c r="F101" s="1">
        <v>4.08659218464891e-7</v>
      </c>
      <c r="G101" s="1"/>
      <c r="I101">
        <f t="shared" si="3"/>
        <v>3.06790397530676e-7</v>
      </c>
      <c r="J101">
        <f t="shared" si="5"/>
        <v>1.36070272868354e-7</v>
      </c>
    </row>
    <row r="102" spans="2:10">
      <c r="B102" s="1">
        <v>4.95375786613295e-7</v>
      </c>
      <c r="C102" s="1">
        <v>1.21047250445372e-7</v>
      </c>
      <c r="D102" s="1">
        <v>3.79477114620386e-7</v>
      </c>
      <c r="E102" s="1">
        <v>2.40192775891046e-7</v>
      </c>
      <c r="F102" s="1">
        <v>3.29336756976772e-7</v>
      </c>
      <c r="G102" s="1"/>
      <c r="I102">
        <f t="shared" si="3"/>
        <v>3.13085936909374e-7</v>
      </c>
      <c r="J102">
        <f t="shared" si="5"/>
        <v>1.41504184529875e-7</v>
      </c>
    </row>
  </sheetData>
  <pageMargins left="0.7" right="0.7" top="0.75" bottom="0.75" header="0.3" footer="0.3"/>
  <headerFooter/>
  <ignoredErrors>
    <ignoredError sqref="I1:J50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张天乙</cp:lastModifiedBy>
  <dcterms:created xsi:type="dcterms:W3CDTF">2025-04-14T08:50:00Z</dcterms:created>
  <dcterms:modified xsi:type="dcterms:W3CDTF">2025-04-20T06:33:55Z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34C0F9449D414B9AB19C7DC3890F1E17_12</vt:lpwstr>
  </property>
</Properties>
</file>