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Sheet1!$I$1:$I$50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0.999999690055847</c:v>
                </c:pt>
                <c:pt idx="3">
                  <c:v>0.999987030029297</c:v>
                </c:pt>
                <c:pt idx="4">
                  <c:v>0.999867677688599</c:v>
                </c:pt>
                <c:pt idx="5">
                  <c:v>0.999342370033264</c:v>
                </c:pt>
                <c:pt idx="6">
                  <c:v>0.997620606422424</c:v>
                </c:pt>
                <c:pt idx="7">
                  <c:v>0.993253564834595</c:v>
                </c:pt>
                <c:pt idx="8">
                  <c:v>0.984327304363251</c:v>
                </c:pt>
                <c:pt idx="9">
                  <c:v>0.966217601299286</c:v>
                </c:pt>
                <c:pt idx="10">
                  <c:v>0.929092502593994</c:v>
                </c:pt>
                <c:pt idx="11">
                  <c:v>0.858851742744446</c:v>
                </c:pt>
                <c:pt idx="12">
                  <c:v>0.707839226722717</c:v>
                </c:pt>
                <c:pt idx="13">
                  <c:v>0.499222749471664</c:v>
                </c:pt>
                <c:pt idx="14">
                  <c:v>0.333692902326584</c:v>
                </c:pt>
                <c:pt idx="15">
                  <c:v>0.238027957081795</c:v>
                </c:pt>
                <c:pt idx="16">
                  <c:v>0.18090378344059</c:v>
                </c:pt>
                <c:pt idx="17">
                  <c:v>0.149635818600655</c:v>
                </c:pt>
                <c:pt idx="18">
                  <c:v>0.124100469052792</c:v>
                </c:pt>
                <c:pt idx="19">
                  <c:v>0.105932809412479</c:v>
                </c:pt>
                <c:pt idx="20">
                  <c:v>0.0934307560324669</c:v>
                </c:pt>
                <c:pt idx="21">
                  <c:v>0.0849037066102028</c:v>
                </c:pt>
                <c:pt idx="22">
                  <c:v>0.0764019325375557</c:v>
                </c:pt>
                <c:pt idx="23">
                  <c:v>0.0692966446280479</c:v>
                </c:pt>
                <c:pt idx="24">
                  <c:v>0.0631932780146599</c:v>
                </c:pt>
                <c:pt idx="25">
                  <c:v>0.0585705742239952</c:v>
                </c:pt>
                <c:pt idx="26">
                  <c:v>0.0541305676102638</c:v>
                </c:pt>
                <c:pt idx="27">
                  <c:v>0.0509030573070049</c:v>
                </c:pt>
                <c:pt idx="28">
                  <c:v>0.0480576083064079</c:v>
                </c:pt>
                <c:pt idx="29">
                  <c:v>0.0438003227114677</c:v>
                </c:pt>
                <c:pt idx="30">
                  <c:v>0.0418732829391956</c:v>
                </c:pt>
                <c:pt idx="31">
                  <c:v>0.0404278434813023</c:v>
                </c:pt>
                <c:pt idx="32">
                  <c:v>0.0387312009930611</c:v>
                </c:pt>
                <c:pt idx="33">
                  <c:v>0.0357731133699417</c:v>
                </c:pt>
                <c:pt idx="34">
                  <c:v>0.0348230324685574</c:v>
                </c:pt>
                <c:pt idx="35">
                  <c:v>0.0338563106954098</c:v>
                </c:pt>
                <c:pt idx="36">
                  <c:v>0.0326166421175003</c:v>
                </c:pt>
                <c:pt idx="37">
                  <c:v>0.0312579222023487</c:v>
                </c:pt>
                <c:pt idx="38">
                  <c:v>0.0307542443275452</c:v>
                </c:pt>
                <c:pt idx="39">
                  <c:v>0.0303750414401293</c:v>
                </c:pt>
                <c:pt idx="40">
                  <c:v>0.0288953617215157</c:v>
                </c:pt>
                <c:pt idx="41">
                  <c:v>0.0276924811303616</c:v>
                </c:pt>
                <c:pt idx="42">
                  <c:v>0.0273913592100143</c:v>
                </c:pt>
                <c:pt idx="43">
                  <c:v>0.0266035135835409</c:v>
                </c:pt>
                <c:pt idx="44">
                  <c:v>0.025095359608531</c:v>
                </c:pt>
                <c:pt idx="45">
                  <c:v>0.0252790421247482</c:v>
                </c:pt>
                <c:pt idx="46">
                  <c:v>0.0248764775693417</c:v>
                </c:pt>
                <c:pt idx="47">
                  <c:v>0.0243459213525057</c:v>
                </c:pt>
                <c:pt idx="48">
                  <c:v>0.0243004813790321</c:v>
                </c:pt>
                <c:pt idx="49">
                  <c:v>0.0228963203728199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9967225"/>
        <c:axId val="956280385"/>
      </c:lineChart>
      <c:catAx>
        <c:axId val="4399672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280385"/>
        <c:crosses val="autoZero"/>
        <c:auto val="1"/>
        <c:lblAlgn val="ctr"/>
        <c:lblOffset val="100"/>
        <c:noMultiLvlLbl val="0"/>
      </c:catAx>
      <c:valAx>
        <c:axId val="9562803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9672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60c19f-035e-4f51-a325-0e5fb32a26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Sheet1!$I$53:$I$102</c:f>
              <c:numCache>
                <c:formatCode>General</c:formatCode>
                <c:ptCount val="50"/>
                <c:pt idx="0">
                  <c:v>8.52598590686537e-14</c:v>
                </c:pt>
                <c:pt idx="1">
                  <c:v>4.75063619085475e-14</c:v>
                </c:pt>
                <c:pt idx="2">
                  <c:v>2.04357619151482e-12</c:v>
                </c:pt>
                <c:pt idx="3">
                  <c:v>2.74281654680242e-11</c:v>
                </c:pt>
                <c:pt idx="4">
                  <c:v>3.95685356702202e-10</c:v>
                </c:pt>
                <c:pt idx="5">
                  <c:v>2.96129947230384e-9</c:v>
                </c:pt>
                <c:pt idx="6">
                  <c:v>1.38781213188111e-8</c:v>
                </c:pt>
                <c:pt idx="7">
                  <c:v>6.36681114940529e-8</c:v>
                </c:pt>
                <c:pt idx="8">
                  <c:v>1.78146976281823e-7</c:v>
                </c:pt>
                <c:pt idx="9">
                  <c:v>8.05889322919029e-7</c:v>
                </c:pt>
                <c:pt idx="10">
                  <c:v>2.65202429545752e-6</c:v>
                </c:pt>
                <c:pt idx="11">
                  <c:v>1.2707584664895e-5</c:v>
                </c:pt>
                <c:pt idx="12">
                  <c:v>6.68148801196366e-5</c:v>
                </c:pt>
                <c:pt idx="13">
                  <c:v>9.00675178854726e-5</c:v>
                </c:pt>
                <c:pt idx="14">
                  <c:v>6.11077368375845e-5</c:v>
                </c:pt>
                <c:pt idx="15">
                  <c:v>4.1106733988272e-5</c:v>
                </c:pt>
                <c:pt idx="16">
                  <c:v>1.94943824681104e-5</c:v>
                </c:pt>
                <c:pt idx="17">
                  <c:v>1.73283859112416e-5</c:v>
                </c:pt>
                <c:pt idx="18">
                  <c:v>1.22353303595446e-5</c:v>
                </c:pt>
                <c:pt idx="19">
                  <c:v>7.0948192387732e-6</c:v>
                </c:pt>
                <c:pt idx="20">
                  <c:v>4.32810729762423e-6</c:v>
                </c:pt>
                <c:pt idx="21">
                  <c:v>6.43476801087672e-6</c:v>
                </c:pt>
                <c:pt idx="22">
                  <c:v>5.46527667211194e-6</c:v>
                </c:pt>
                <c:pt idx="23">
                  <c:v>5.81380063522374e-6</c:v>
                </c:pt>
                <c:pt idx="24">
                  <c:v>4.22614393755794e-6</c:v>
                </c:pt>
                <c:pt idx="25">
                  <c:v>5.42326499726187e-6</c:v>
                </c:pt>
                <c:pt idx="26">
                  <c:v>2.35159177464084e-6</c:v>
                </c:pt>
                <c:pt idx="27">
                  <c:v>3.68983933185518e-6</c:v>
                </c:pt>
                <c:pt idx="28">
                  <c:v>2.82955356851744e-6</c:v>
                </c:pt>
                <c:pt idx="29">
                  <c:v>3.24331163028546e-6</c:v>
                </c:pt>
                <c:pt idx="30">
                  <c:v>2.74410967904259e-6</c:v>
                </c:pt>
                <c:pt idx="31">
                  <c:v>1.67811995197553e-6</c:v>
                </c:pt>
                <c:pt idx="32">
                  <c:v>1.72580340631612e-6</c:v>
                </c:pt>
                <c:pt idx="33">
                  <c:v>1.66574877766834e-6</c:v>
                </c:pt>
                <c:pt idx="34">
                  <c:v>1.66593504218326e-6</c:v>
                </c:pt>
                <c:pt idx="35">
                  <c:v>1.37227032155351e-6</c:v>
                </c:pt>
                <c:pt idx="36">
                  <c:v>1.55281729803392e-6</c:v>
                </c:pt>
                <c:pt idx="37">
                  <c:v>9.9147284799983e-7</c:v>
                </c:pt>
                <c:pt idx="38">
                  <c:v>1.36453052164143e-6</c:v>
                </c:pt>
                <c:pt idx="39">
                  <c:v>1.20013647801898e-6</c:v>
                </c:pt>
                <c:pt idx="40">
                  <c:v>1.02718693142378e-6</c:v>
                </c:pt>
                <c:pt idx="41">
                  <c:v>1.07922652432535e-6</c:v>
                </c:pt>
                <c:pt idx="42">
                  <c:v>8.11260684940862e-7</c:v>
                </c:pt>
                <c:pt idx="43">
                  <c:v>7.26550456420227e-7</c:v>
                </c:pt>
                <c:pt idx="44">
                  <c:v>7.63239114576208e-7</c:v>
                </c:pt>
                <c:pt idx="45">
                  <c:v>7.96967717064945e-7</c:v>
                </c:pt>
                <c:pt idx="46">
                  <c:v>7.28409207795266e-7</c:v>
                </c:pt>
                <c:pt idx="47">
                  <c:v>1.32117557996025e-6</c:v>
                </c:pt>
                <c:pt idx="48">
                  <c:v>6.01499016283924e-7</c:v>
                </c:pt>
                <c:pt idx="49">
                  <c:v>7.33555447141043e-7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4281942"/>
        <c:axId val="223818033"/>
      </c:lineChart>
      <c:catAx>
        <c:axId val="7442819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818033"/>
        <c:crosses val="autoZero"/>
        <c:auto val="1"/>
        <c:lblAlgn val="ctr"/>
        <c:lblOffset val="100"/>
        <c:noMultiLvlLbl val="0"/>
      </c:catAx>
      <c:valAx>
        <c:axId val="2238180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819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a60c04-2fae-4567-a576-a2f231dc22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212725</xdr:colOff>
      <xdr:row>0</xdr:row>
      <xdr:rowOff>60325</xdr:rowOff>
    </xdr:from>
    <xdr:to>
      <xdr:col>17</xdr:col>
      <xdr:colOff>238125</xdr:colOff>
      <xdr:row>16</xdr:row>
      <xdr:rowOff>60325</xdr:rowOff>
    </xdr:to>
    <xdr:graphicFrame>
      <xdr:nvGraphicFramePr>
        <xdr:cNvPr id="2" name="图表 1"/>
        <xdr:cNvGraphicFramePr/>
      </xdr:nvGraphicFramePr>
      <xdr:xfrm>
        <a:off x="7899400" y="60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193675</xdr:colOff>
      <xdr:row>52</xdr:row>
      <xdr:rowOff>15875</xdr:rowOff>
    </xdr:from>
    <xdr:to>
      <xdr:col>17</xdr:col>
      <xdr:colOff>219075</xdr:colOff>
      <xdr:row>68</xdr:row>
      <xdr:rowOff>15875</xdr:rowOff>
    </xdr:to>
    <xdr:graphicFrame>
      <xdr:nvGraphicFramePr>
        <xdr:cNvPr id="3" name="图表 2"/>
        <xdr:cNvGraphicFramePr/>
      </xdr:nvGraphicFramePr>
      <xdr:xfrm>
        <a:off x="7880350" y="8931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2"/>
  <sheetViews>
    <sheetView tabSelected="1" zoomScale="70" zoomScaleNormal="70" workbookViewId="0">
      <selection activeCell="J53" sqref="J53:J102"/>
    </sheetView>
  </sheetViews>
  <sheetFormatPr defaultColWidth="9" defaultRowHeight="13.5"/>
  <cols>
    <col min="4" max="4" width="12.625"/>
    <col min="6" max="6" width="12.625"/>
    <col min="10" max="10" width="12.625"/>
  </cols>
  <sheetData>
    <row r="1" spans="1:19">
      <c r="A1">
        <v>0.5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I1">
        <f t="shared" ref="I1:I50" si="0">AVERAGE(B1:H1)</f>
        <v>1</v>
      </c>
      <c r="J1">
        <f>SQRT(VAR(B1:F1))</f>
        <v>0</v>
      </c>
      <c r="S1" s="2">
        <v>1</v>
      </c>
    </row>
    <row r="2" spans="1:19">
      <c r="A2">
        <v>1.30612242221832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>
        <f t="shared" si="0"/>
        <v>1</v>
      </c>
      <c r="J2">
        <f t="shared" ref="J2:J33" si="1">SQRT(VAR(B2:F2))</f>
        <v>0</v>
      </c>
      <c r="S2" s="2">
        <v>2</v>
      </c>
    </row>
    <row r="3" spans="1:19">
      <c r="A3">
        <v>2.11224484443665</v>
      </c>
      <c r="B3" s="1">
        <v>1</v>
      </c>
      <c r="C3" s="1">
        <v>1</v>
      </c>
      <c r="D3" s="1">
        <v>1</v>
      </c>
      <c r="E3" s="1">
        <v>1</v>
      </c>
      <c r="F3" s="1">
        <v>0.999998450279236</v>
      </c>
      <c r="I3">
        <f t="shared" si="0"/>
        <v>0.999999690055847</v>
      </c>
      <c r="J3">
        <f t="shared" si="1"/>
        <v>6.93056194911355e-7</v>
      </c>
      <c r="S3" s="2">
        <v>3</v>
      </c>
    </row>
    <row r="4" spans="1:19">
      <c r="A4">
        <v>2.91836738586426</v>
      </c>
      <c r="B4" s="1">
        <v>0.999988913536072</v>
      </c>
      <c r="C4" s="1">
        <v>0.999990522861481</v>
      </c>
      <c r="D4" s="1">
        <v>0.999990522861481</v>
      </c>
      <c r="E4" s="1">
        <v>0.999993681907654</v>
      </c>
      <c r="F4" s="1">
        <v>0.999971508979797</v>
      </c>
      <c r="I4">
        <f t="shared" si="0"/>
        <v>0.999987030029297</v>
      </c>
      <c r="J4">
        <f t="shared" si="1"/>
        <v>8.84728509714319e-6</v>
      </c>
      <c r="S4" s="2">
        <v>4</v>
      </c>
    </row>
    <row r="5" spans="1:19">
      <c r="A5">
        <v>3.72448968887329</v>
      </c>
      <c r="B5" s="1">
        <v>0.999869525432587</v>
      </c>
      <c r="C5" s="1">
        <v>0.99986332654953</v>
      </c>
      <c r="D5" s="1">
        <v>0.999890267848969</v>
      </c>
      <c r="E5" s="1">
        <v>0.999858498573303</v>
      </c>
      <c r="F5" s="1">
        <v>0.999856770038605</v>
      </c>
      <c r="I5">
        <f t="shared" si="0"/>
        <v>0.999867677688599</v>
      </c>
      <c r="J5">
        <f t="shared" si="1"/>
        <v>1.35636914277838e-5</v>
      </c>
      <c r="S5" s="2">
        <v>5</v>
      </c>
    </row>
    <row r="6" spans="1:19">
      <c r="A6">
        <v>4.53061199188232</v>
      </c>
      <c r="B6" s="1">
        <v>0.999325275421143</v>
      </c>
      <c r="C6" s="1">
        <v>0.999395668506622</v>
      </c>
      <c r="D6" s="1">
        <v>0.999400734901428</v>
      </c>
      <c r="E6" s="1">
        <v>0.999294996261597</v>
      </c>
      <c r="F6" s="1">
        <v>0.999295175075531</v>
      </c>
      <c r="I6">
        <f t="shared" si="0"/>
        <v>0.999342370033264</v>
      </c>
      <c r="J6">
        <f t="shared" si="1"/>
        <v>5.24667731498571e-5</v>
      </c>
      <c r="S6" s="2">
        <v>6</v>
      </c>
    </row>
    <row r="7" spans="1:19">
      <c r="A7">
        <v>5.33673477172852</v>
      </c>
      <c r="B7" s="1">
        <v>0.997703015804291</v>
      </c>
      <c r="C7" s="1">
        <v>0.997552156448364</v>
      </c>
      <c r="D7" s="1">
        <v>0.997591376304626</v>
      </c>
      <c r="E7" s="1">
        <v>0.997642338275909</v>
      </c>
      <c r="F7" s="1">
        <v>0.997614145278931</v>
      </c>
      <c r="I7">
        <f t="shared" si="0"/>
        <v>0.997620606422424</v>
      </c>
      <c r="J7">
        <f t="shared" si="1"/>
        <v>5.66681674004976e-5</v>
      </c>
      <c r="S7" s="2">
        <v>7</v>
      </c>
    </row>
    <row r="8" spans="1:19">
      <c r="A8">
        <v>6.14285707473755</v>
      </c>
      <c r="B8" s="1">
        <v>0.99327826499939</v>
      </c>
      <c r="C8" s="1">
        <v>0.992932081222534</v>
      </c>
      <c r="D8" s="1">
        <v>0.993560194969177</v>
      </c>
      <c r="E8" s="1">
        <v>0.992962300777435</v>
      </c>
      <c r="F8" s="1">
        <v>0.993534982204437</v>
      </c>
      <c r="I8">
        <f t="shared" si="0"/>
        <v>0.993253564834595</v>
      </c>
      <c r="J8">
        <f t="shared" si="1"/>
        <v>0.000300838136479002</v>
      </c>
      <c r="S8" s="2">
        <v>8</v>
      </c>
    </row>
    <row r="9" spans="1:19">
      <c r="A9">
        <v>6.94897937774658</v>
      </c>
      <c r="B9" s="1">
        <v>0.985002040863037</v>
      </c>
      <c r="C9" s="1">
        <v>0.983567893505096</v>
      </c>
      <c r="D9" s="1">
        <v>0.983965039253235</v>
      </c>
      <c r="E9" s="1">
        <v>0.984674870967865</v>
      </c>
      <c r="F9" s="1">
        <v>0.98442667722702</v>
      </c>
      <c r="I9">
        <f t="shared" si="0"/>
        <v>0.984327304363251</v>
      </c>
      <c r="J9">
        <f t="shared" si="1"/>
        <v>0.00056874592663567</v>
      </c>
      <c r="S9" s="2">
        <v>9</v>
      </c>
    </row>
    <row r="10" spans="1:19">
      <c r="A10">
        <v>7.75510168075562</v>
      </c>
      <c r="B10" s="1">
        <v>0.966806173324585</v>
      </c>
      <c r="C10" s="1">
        <v>0.967148125171661</v>
      </c>
      <c r="D10" s="1">
        <v>0.964497208595276</v>
      </c>
      <c r="E10" s="1">
        <v>0.967326104640961</v>
      </c>
      <c r="F10" s="1">
        <v>0.965310394763947</v>
      </c>
      <c r="I10">
        <f t="shared" si="0"/>
        <v>0.966217601299286</v>
      </c>
      <c r="J10">
        <f t="shared" si="1"/>
        <v>0.00124738186998827</v>
      </c>
      <c r="S10" s="2">
        <v>10</v>
      </c>
    </row>
    <row r="11" spans="1:19">
      <c r="A11">
        <v>8.56122398376465</v>
      </c>
      <c r="B11" s="1">
        <v>0.929710030555725</v>
      </c>
      <c r="C11" s="1">
        <v>0.930990099906921</v>
      </c>
      <c r="D11" s="1">
        <v>0.925174117088318</v>
      </c>
      <c r="E11" s="1">
        <v>0.928502261638641</v>
      </c>
      <c r="F11" s="1">
        <v>0.931086003780365</v>
      </c>
      <c r="I11">
        <f t="shared" si="0"/>
        <v>0.929092502593994</v>
      </c>
      <c r="J11">
        <f t="shared" si="1"/>
        <v>0.00243199468965693</v>
      </c>
      <c r="S11" s="2">
        <v>11</v>
      </c>
    </row>
    <row r="12" spans="1:19">
      <c r="A12">
        <v>9.36734676361084</v>
      </c>
      <c r="B12" s="1">
        <v>0.86041122674942</v>
      </c>
      <c r="C12" s="1">
        <v>0.860607862472534</v>
      </c>
      <c r="D12" s="1">
        <v>0.857798516750336</v>
      </c>
      <c r="E12" s="1">
        <v>0.858540236949921</v>
      </c>
      <c r="F12" s="1">
        <v>0.856900870800018</v>
      </c>
      <c r="I12">
        <f t="shared" si="0"/>
        <v>0.858851742744446</v>
      </c>
      <c r="J12">
        <f t="shared" si="1"/>
        <v>0.00162235700906102</v>
      </c>
      <c r="S12" s="2">
        <v>12</v>
      </c>
    </row>
    <row r="13" spans="1:19">
      <c r="A13">
        <v>10.173469543457</v>
      </c>
      <c r="B13" s="1">
        <v>0.704718232154846</v>
      </c>
      <c r="C13" s="1">
        <v>0.694790482521057</v>
      </c>
      <c r="D13" s="1">
        <v>0.711321592330933</v>
      </c>
      <c r="E13" s="1">
        <v>0.719436645507812</v>
      </c>
      <c r="F13" s="1">
        <v>0.708929181098938</v>
      </c>
      <c r="I13">
        <f t="shared" si="0"/>
        <v>0.707839226722717</v>
      </c>
      <c r="J13">
        <f t="shared" si="1"/>
        <v>0.00905297362170902</v>
      </c>
      <c r="S13" s="2">
        <v>13</v>
      </c>
    </row>
    <row r="14" spans="1:19">
      <c r="A14">
        <v>10.9795913696289</v>
      </c>
      <c r="B14" s="1">
        <v>0.508036732673645</v>
      </c>
      <c r="C14" s="1">
        <v>0.503624379634857</v>
      </c>
      <c r="D14" s="1">
        <v>0.497648030519485</v>
      </c>
      <c r="E14" s="1">
        <v>0.485510468482971</v>
      </c>
      <c r="F14" s="1">
        <v>0.501294136047363</v>
      </c>
      <c r="I14">
        <f t="shared" si="0"/>
        <v>0.499222749471664</v>
      </c>
      <c r="J14">
        <f t="shared" si="1"/>
        <v>0.00854192132976449</v>
      </c>
      <c r="S14" s="2">
        <v>14</v>
      </c>
    </row>
    <row r="15" spans="1:19">
      <c r="A15">
        <v>11.7857141494751</v>
      </c>
      <c r="B15" s="1">
        <v>0.33636486530304</v>
      </c>
      <c r="C15" s="1">
        <v>0.346656024456024</v>
      </c>
      <c r="D15" s="1">
        <v>0.331966668367386</v>
      </c>
      <c r="E15" s="1">
        <v>0.331672102212906</v>
      </c>
      <c r="F15" s="1">
        <v>0.321804851293564</v>
      </c>
      <c r="I15">
        <f t="shared" si="0"/>
        <v>0.333692902326584</v>
      </c>
      <c r="J15">
        <f t="shared" si="1"/>
        <v>0.00899404241199898</v>
      </c>
      <c r="S15" s="2">
        <v>15</v>
      </c>
    </row>
    <row r="16" spans="1:19">
      <c r="A16">
        <v>12.591835975647</v>
      </c>
      <c r="B16" s="1">
        <v>0.244982600212097</v>
      </c>
      <c r="C16" s="1">
        <v>0.233638480305672</v>
      </c>
      <c r="D16" s="1">
        <v>0.2316784709692</v>
      </c>
      <c r="E16" s="1">
        <v>0.24246571958065</v>
      </c>
      <c r="F16" s="1">
        <v>0.237374514341354</v>
      </c>
      <c r="I16">
        <f t="shared" si="0"/>
        <v>0.238027957081795</v>
      </c>
      <c r="J16">
        <f t="shared" si="1"/>
        <v>0.00565842877359289</v>
      </c>
      <c r="S16" s="2">
        <v>16</v>
      </c>
    </row>
    <row r="17" spans="1:19">
      <c r="A17">
        <v>13.3979587554932</v>
      </c>
      <c r="B17" s="1">
        <v>0.176651254296303</v>
      </c>
      <c r="C17" s="1">
        <v>0.181083276867866</v>
      </c>
      <c r="D17" s="1">
        <v>0.17845456302166</v>
      </c>
      <c r="E17" s="1">
        <v>0.180228933691979</v>
      </c>
      <c r="F17" s="1">
        <v>0.188100889325142</v>
      </c>
      <c r="I17">
        <f t="shared" si="0"/>
        <v>0.18090378344059</v>
      </c>
      <c r="J17">
        <f t="shared" si="1"/>
        <v>0.00436945814634385</v>
      </c>
      <c r="S17" s="2">
        <v>17</v>
      </c>
    </row>
    <row r="18" spans="1:19">
      <c r="A18">
        <v>14.2040815353394</v>
      </c>
      <c r="B18" s="1">
        <v>0.15377913415432</v>
      </c>
      <c r="C18" s="1">
        <v>0.146441638469696</v>
      </c>
      <c r="D18" s="1">
        <v>0.15218560397625</v>
      </c>
      <c r="E18" s="1">
        <v>0.145310387015343</v>
      </c>
      <c r="F18" s="1">
        <v>0.150462329387665</v>
      </c>
      <c r="I18">
        <f t="shared" si="0"/>
        <v>0.149635818600655</v>
      </c>
      <c r="J18">
        <f t="shared" si="1"/>
        <v>0.00364910038324902</v>
      </c>
      <c r="S18" s="2">
        <v>18</v>
      </c>
    </row>
    <row r="19" spans="1:19">
      <c r="A19">
        <v>15.0102033615112</v>
      </c>
      <c r="B19" s="1">
        <v>0.121435195207596</v>
      </c>
      <c r="C19" s="1">
        <v>0.123523220419884</v>
      </c>
      <c r="D19" s="1">
        <v>0.126324743032455</v>
      </c>
      <c r="E19" s="1">
        <v>0.126067206263542</v>
      </c>
      <c r="F19" s="1">
        <v>0.123151980340481</v>
      </c>
      <c r="I19">
        <f t="shared" si="0"/>
        <v>0.124100469052792</v>
      </c>
      <c r="J19">
        <f t="shared" si="1"/>
        <v>0.0020707475391882</v>
      </c>
      <c r="S19" s="2">
        <v>19</v>
      </c>
    </row>
    <row r="20" spans="1:19">
      <c r="A20">
        <v>15.8163261413574</v>
      </c>
      <c r="B20" s="1">
        <v>0.107422441244125</v>
      </c>
      <c r="C20" s="1">
        <v>0.10304794460535</v>
      </c>
      <c r="D20" s="1">
        <v>0.102772831916809</v>
      </c>
      <c r="E20" s="1">
        <v>0.110297583043575</v>
      </c>
      <c r="F20" s="1">
        <v>0.106123246252537</v>
      </c>
      <c r="I20">
        <f t="shared" si="0"/>
        <v>0.105932809412479</v>
      </c>
      <c r="J20">
        <f t="shared" si="1"/>
        <v>0.00314699939478734</v>
      </c>
      <c r="S20" s="2">
        <v>20</v>
      </c>
    </row>
    <row r="21" spans="1:19">
      <c r="A21">
        <v>16.6224479675293</v>
      </c>
      <c r="B21" s="1">
        <v>0.0930576324462891</v>
      </c>
      <c r="C21" s="1">
        <v>0.093052864074707</v>
      </c>
      <c r="D21" s="1">
        <v>0.0935551971197128</v>
      </c>
      <c r="E21" s="1">
        <v>0.0933424308896065</v>
      </c>
      <c r="F21" s="1">
        <v>0.094145655632019</v>
      </c>
      <c r="I21">
        <f t="shared" si="0"/>
        <v>0.0934307560324669</v>
      </c>
      <c r="J21">
        <f t="shared" si="1"/>
        <v>0.000451772037314671</v>
      </c>
      <c r="S21" s="2">
        <v>21</v>
      </c>
    </row>
    <row r="22" spans="1:19">
      <c r="A22">
        <v>17.4285717010498</v>
      </c>
      <c r="B22" s="1">
        <v>0.0842032134532928</v>
      </c>
      <c r="C22" s="1">
        <v>0.0841568261384964</v>
      </c>
      <c r="D22" s="1">
        <v>0.0811392217874527</v>
      </c>
      <c r="E22" s="1">
        <v>0.0891072452068329</v>
      </c>
      <c r="F22" s="1">
        <v>0.0859120264649391</v>
      </c>
      <c r="I22">
        <f t="shared" si="0"/>
        <v>0.0849037066102028</v>
      </c>
      <c r="J22">
        <f t="shared" si="1"/>
        <v>0.00291145636861624</v>
      </c>
      <c r="S22" s="2">
        <v>22</v>
      </c>
    </row>
    <row r="23" spans="1:19">
      <c r="A23">
        <v>18.2346935272217</v>
      </c>
      <c r="B23" s="1">
        <v>0.0795136243104935</v>
      </c>
      <c r="C23" s="1">
        <v>0.0784239992499351</v>
      </c>
      <c r="D23" s="1">
        <v>0.0760368481278419</v>
      </c>
      <c r="E23" s="1">
        <v>0.0733343958854675</v>
      </c>
      <c r="F23" s="1">
        <v>0.0747007951140404</v>
      </c>
      <c r="I23">
        <f t="shared" si="0"/>
        <v>0.0764019325375557</v>
      </c>
      <c r="J23">
        <f t="shared" si="1"/>
        <v>0.00255970290028386</v>
      </c>
      <c r="S23" s="2">
        <v>23</v>
      </c>
    </row>
    <row r="24" spans="1:19">
      <c r="A24">
        <v>19.0408153533936</v>
      </c>
      <c r="B24" s="1">
        <v>0.0703551769256592</v>
      </c>
      <c r="C24" s="1">
        <v>0.0685952007770538</v>
      </c>
      <c r="D24" s="1">
        <v>0.0688320100307465</v>
      </c>
      <c r="E24" s="1">
        <v>0.0705232173204422</v>
      </c>
      <c r="F24" s="1">
        <v>0.068177618086338</v>
      </c>
      <c r="I24">
        <f t="shared" si="0"/>
        <v>0.0692966446280479</v>
      </c>
      <c r="J24">
        <f t="shared" si="1"/>
        <v>0.00107064237504543</v>
      </c>
      <c r="S24" s="2">
        <v>24</v>
      </c>
    </row>
    <row r="25" spans="1:19">
      <c r="A25">
        <v>19.8469390869141</v>
      </c>
      <c r="B25" s="1">
        <v>0.0629199966788292</v>
      </c>
      <c r="C25" s="1">
        <v>0.0629151836037636</v>
      </c>
      <c r="D25" s="1">
        <v>0.062777616083622</v>
      </c>
      <c r="E25" s="1">
        <v>0.0634736120700836</v>
      </c>
      <c r="F25" s="1">
        <v>0.063879981637001</v>
      </c>
      <c r="I25">
        <f t="shared" si="0"/>
        <v>0.0631932780146599</v>
      </c>
      <c r="J25">
        <f t="shared" si="1"/>
        <v>0.00046769196015273</v>
      </c>
      <c r="S25" s="2">
        <v>25</v>
      </c>
    </row>
    <row r="26" spans="1:19">
      <c r="A26">
        <v>20.6530609130859</v>
      </c>
      <c r="B26" s="1">
        <v>0.0571104027330875</v>
      </c>
      <c r="C26" s="1">
        <v>0.0617312081158161</v>
      </c>
      <c r="D26" s="1">
        <v>0.0572608113288879</v>
      </c>
      <c r="E26" s="1">
        <v>0.058636836707592</v>
      </c>
      <c r="F26" s="1">
        <v>0.0581136122345924</v>
      </c>
      <c r="I26">
        <f t="shared" si="0"/>
        <v>0.0585705742239952</v>
      </c>
      <c r="J26">
        <f t="shared" si="1"/>
        <v>0.00187419257274151</v>
      </c>
      <c r="S26" s="2">
        <v>26</v>
      </c>
    </row>
    <row r="27" spans="1:19">
      <c r="A27">
        <v>21.4591846466064</v>
      </c>
      <c r="B27" s="1">
        <v>0.0535504184663296</v>
      </c>
      <c r="C27" s="1">
        <v>0.0543328039348126</v>
      </c>
      <c r="D27" s="1">
        <v>0.0554223917424679</v>
      </c>
      <c r="E27" s="1">
        <v>0.0543119981884956</v>
      </c>
      <c r="F27" s="1">
        <v>0.0530352257192135</v>
      </c>
      <c r="I27">
        <f t="shared" si="0"/>
        <v>0.0541305676102638</v>
      </c>
      <c r="J27">
        <f t="shared" si="1"/>
        <v>0.000905396744765333</v>
      </c>
      <c r="S27" s="2">
        <v>27</v>
      </c>
    </row>
    <row r="28" spans="1:19">
      <c r="A28">
        <v>22.2653064727783</v>
      </c>
      <c r="B28" s="1">
        <v>0.0501072108745575</v>
      </c>
      <c r="C28" s="1">
        <v>0.0507936105132103</v>
      </c>
      <c r="D28" s="1">
        <v>0.0501520298421383</v>
      </c>
      <c r="E28" s="1">
        <v>0.0511952340602875</v>
      </c>
      <c r="F28" s="1">
        <v>0.0522672012448311</v>
      </c>
      <c r="I28">
        <f t="shared" si="0"/>
        <v>0.0509030573070049</v>
      </c>
      <c r="J28">
        <f t="shared" si="1"/>
        <v>0.000888207230318727</v>
      </c>
      <c r="S28" s="2">
        <v>28</v>
      </c>
    </row>
    <row r="29" spans="1:19">
      <c r="A29">
        <v>23.0714282989502</v>
      </c>
      <c r="B29" s="1">
        <v>0.0492848083376885</v>
      </c>
      <c r="C29" s="1">
        <v>0.0473232194781303</v>
      </c>
      <c r="D29" s="1">
        <v>0.045889601111412</v>
      </c>
      <c r="E29" s="1">
        <v>0.0496256165206432</v>
      </c>
      <c r="F29" s="1">
        <v>0.0481647960841656</v>
      </c>
      <c r="I29">
        <f t="shared" si="0"/>
        <v>0.0480576083064079</v>
      </c>
      <c r="J29">
        <f t="shared" si="1"/>
        <v>0.00151787195153594</v>
      </c>
      <c r="S29" s="2">
        <v>29</v>
      </c>
    </row>
    <row r="30" spans="1:19">
      <c r="A30">
        <v>23.8775520324707</v>
      </c>
      <c r="B30" s="1">
        <v>0.0427583903074265</v>
      </c>
      <c r="C30" s="1">
        <v>0.0442848093807697</v>
      </c>
      <c r="D30" s="1">
        <v>0.045039989054203</v>
      </c>
      <c r="E30" s="1">
        <v>0.0450256168842316</v>
      </c>
      <c r="F30" s="1">
        <v>0.0418928079307079</v>
      </c>
      <c r="I30">
        <f t="shared" si="0"/>
        <v>0.0438003227114677</v>
      </c>
      <c r="J30">
        <f t="shared" si="1"/>
        <v>0.0014139555825113</v>
      </c>
      <c r="S30" s="2">
        <v>30</v>
      </c>
    </row>
    <row r="31" spans="1:19">
      <c r="A31">
        <v>24.6836738586426</v>
      </c>
      <c r="B31" s="1">
        <v>0.0413232110440731</v>
      </c>
      <c r="C31" s="1">
        <v>0.0410656146705151</v>
      </c>
      <c r="D31" s="1">
        <v>0.0425487831234932</v>
      </c>
      <c r="E31" s="1">
        <v>0.0397711992263794</v>
      </c>
      <c r="F31" s="1">
        <v>0.0446576066315174</v>
      </c>
      <c r="I31">
        <f t="shared" si="0"/>
        <v>0.0418732829391956</v>
      </c>
      <c r="J31">
        <f t="shared" si="1"/>
        <v>0.00184271687871026</v>
      </c>
      <c r="S31" s="2">
        <v>31</v>
      </c>
    </row>
    <row r="32" spans="1:19">
      <c r="A32">
        <v>25.4897956848144</v>
      </c>
      <c r="B32" s="1">
        <v>0.0411600060760975</v>
      </c>
      <c r="C32" s="1">
        <v>0.0388464108109474</v>
      </c>
      <c r="D32" s="1">
        <v>0.0411520041525364</v>
      </c>
      <c r="E32" s="1">
        <v>0.0415503941476345</v>
      </c>
      <c r="F32" s="1">
        <v>0.0394304022192955</v>
      </c>
      <c r="I32">
        <f t="shared" si="0"/>
        <v>0.0404278434813023</v>
      </c>
      <c r="J32">
        <f t="shared" si="1"/>
        <v>0.0012058616321413</v>
      </c>
      <c r="S32" s="2">
        <v>32</v>
      </c>
    </row>
    <row r="33" spans="1:19">
      <c r="A33">
        <v>26.295919418335</v>
      </c>
      <c r="B33" s="1">
        <v>0.0393792167305946</v>
      </c>
      <c r="C33" s="1">
        <v>0.037248007953167</v>
      </c>
      <c r="D33" s="1">
        <v>0.0409791879355907</v>
      </c>
      <c r="E33" s="1">
        <v>0.0370927937328816</v>
      </c>
      <c r="F33" s="1">
        <v>0.0389567986130714</v>
      </c>
      <c r="I33">
        <f t="shared" si="0"/>
        <v>0.0387312009930611</v>
      </c>
      <c r="J33">
        <f t="shared" si="1"/>
        <v>0.00161311065335179</v>
      </c>
      <c r="S33" s="2">
        <v>33</v>
      </c>
    </row>
    <row r="34" spans="1:19">
      <c r="A34">
        <v>27.1020412445068</v>
      </c>
      <c r="B34" s="1">
        <v>0.0357280038297176</v>
      </c>
      <c r="C34" s="1">
        <v>0.0346015952527523</v>
      </c>
      <c r="D34" s="1">
        <v>0.0361423902213574</v>
      </c>
      <c r="E34" s="1">
        <v>0.0344591848552227</v>
      </c>
      <c r="F34" s="1">
        <v>0.0379343926906586</v>
      </c>
      <c r="I34">
        <f t="shared" si="0"/>
        <v>0.0357731133699417</v>
      </c>
      <c r="J34">
        <f t="shared" ref="J34:J65" si="2">SQRT(VAR(B34:F34))</f>
        <v>0.0014060931162679</v>
      </c>
      <c r="S34" s="2">
        <v>34</v>
      </c>
    </row>
    <row r="35" spans="1:19">
      <c r="A35">
        <v>27.9081630706787</v>
      </c>
      <c r="B35" s="1">
        <v>0.034316785633564</v>
      </c>
      <c r="C35" s="1">
        <v>0.0343839861452579</v>
      </c>
      <c r="D35" s="1">
        <v>0.0360752008855343</v>
      </c>
      <c r="E35" s="1">
        <v>0.035233598202467</v>
      </c>
      <c r="F35" s="1">
        <v>0.0341055914759636</v>
      </c>
      <c r="I35">
        <f t="shared" si="0"/>
        <v>0.0348230324685574</v>
      </c>
      <c r="J35">
        <f t="shared" si="2"/>
        <v>0.000821623252490578</v>
      </c>
      <c r="S35" s="2">
        <v>35</v>
      </c>
    </row>
    <row r="36" spans="1:19">
      <c r="A36">
        <v>28.7142868041992</v>
      </c>
      <c r="B36" s="1">
        <v>0.0345264002680779</v>
      </c>
      <c r="C36" s="1">
        <v>0.0317023880779743</v>
      </c>
      <c r="D36" s="1">
        <v>0.0335055850446224</v>
      </c>
      <c r="E36" s="1">
        <v>0.0350335873663425</v>
      </c>
      <c r="F36" s="1">
        <v>0.0345135927200317</v>
      </c>
      <c r="I36">
        <f t="shared" si="0"/>
        <v>0.0338563106954098</v>
      </c>
      <c r="J36">
        <f t="shared" si="2"/>
        <v>0.00132565183770404</v>
      </c>
      <c r="S36" s="2">
        <v>36</v>
      </c>
    </row>
    <row r="37" spans="1:19">
      <c r="A37">
        <v>29.5204086303711</v>
      </c>
      <c r="B37" s="1">
        <v>0.0356735996901989</v>
      </c>
      <c r="C37" s="1">
        <v>0.0310239978134632</v>
      </c>
      <c r="D37" s="1">
        <v>0.0322655998170376</v>
      </c>
      <c r="E37" s="1">
        <v>0.0325568169355393</v>
      </c>
      <c r="F37" s="1">
        <v>0.0315631963312626</v>
      </c>
      <c r="I37">
        <f t="shared" si="0"/>
        <v>0.0326166421175003</v>
      </c>
      <c r="J37">
        <f t="shared" si="2"/>
        <v>0.00181094334906658</v>
      </c>
      <c r="S37" s="2">
        <v>37</v>
      </c>
    </row>
    <row r="38" spans="1:19">
      <c r="A38">
        <v>30.326530456543</v>
      </c>
      <c r="B38" s="1">
        <v>0.0311552174389362</v>
      </c>
      <c r="C38" s="1">
        <v>0.0302304048091173</v>
      </c>
      <c r="D38" s="1">
        <v>0.031473595649004</v>
      </c>
      <c r="E38" s="1">
        <v>0.0322303995490074</v>
      </c>
      <c r="F38" s="1">
        <v>0.0311999935656786</v>
      </c>
      <c r="I38">
        <f t="shared" si="0"/>
        <v>0.0312579222023487</v>
      </c>
      <c r="J38">
        <f t="shared" si="2"/>
        <v>0.000717969918263233</v>
      </c>
      <c r="S38" s="2">
        <v>38</v>
      </c>
    </row>
    <row r="39" spans="1:19">
      <c r="A39">
        <v>31.1326541900635</v>
      </c>
      <c r="B39" s="1">
        <v>0.0303103979676962</v>
      </c>
      <c r="C39" s="1">
        <v>0.0315023995935917</v>
      </c>
      <c r="D39" s="1">
        <v>0.0314432121813297</v>
      </c>
      <c r="E39" s="1">
        <v>0.031129602342844</v>
      </c>
      <c r="F39" s="1">
        <v>0.0293856095522642</v>
      </c>
      <c r="I39">
        <f t="shared" si="0"/>
        <v>0.0307542443275452</v>
      </c>
      <c r="J39">
        <f t="shared" si="2"/>
        <v>0.000900759038890293</v>
      </c>
      <c r="S39" s="2">
        <v>39</v>
      </c>
    </row>
    <row r="40" spans="1:19">
      <c r="A40">
        <v>31.9387760162354</v>
      </c>
      <c r="B40" s="1">
        <v>0.0304336082190275</v>
      </c>
      <c r="C40" s="1">
        <v>0.0317839868366718</v>
      </c>
      <c r="D40" s="1">
        <v>0.0303232092410326</v>
      </c>
      <c r="E40" s="1">
        <v>0.0298912022262812</v>
      </c>
      <c r="F40" s="1">
        <v>0.0294432006776333</v>
      </c>
      <c r="I40">
        <f t="shared" si="0"/>
        <v>0.0303750414401293</v>
      </c>
      <c r="J40">
        <f t="shared" si="2"/>
        <v>0.000879441778402398</v>
      </c>
      <c r="S40" s="2">
        <v>40</v>
      </c>
    </row>
    <row r="41" spans="1:19">
      <c r="A41">
        <v>32.7448997497559</v>
      </c>
      <c r="B41" s="1">
        <v>0.0291840117424726</v>
      </c>
      <c r="C41" s="1">
        <v>0.0285311974585056</v>
      </c>
      <c r="D41" s="1">
        <v>0.0285663846880197</v>
      </c>
      <c r="E41" s="1">
        <v>0.0290368050336838</v>
      </c>
      <c r="F41" s="1">
        <v>0.0291584096848965</v>
      </c>
      <c r="I41">
        <f t="shared" si="0"/>
        <v>0.0288953617215157</v>
      </c>
      <c r="J41">
        <f t="shared" si="2"/>
        <v>0.000321465696154273</v>
      </c>
      <c r="S41" s="2">
        <v>41</v>
      </c>
    </row>
    <row r="42" spans="1:19">
      <c r="A42">
        <v>33.5510215759277</v>
      </c>
      <c r="B42" s="1">
        <v>0.0273695960640907</v>
      </c>
      <c r="C42" s="1">
        <v>0.02680479362607</v>
      </c>
      <c r="D42" s="1">
        <v>0.0269968025386334</v>
      </c>
      <c r="E42" s="1">
        <v>0.028390396386385</v>
      </c>
      <c r="F42" s="1">
        <v>0.0289008170366287</v>
      </c>
      <c r="I42">
        <f t="shared" si="0"/>
        <v>0.0276924811303616</v>
      </c>
      <c r="J42">
        <f t="shared" si="2"/>
        <v>0.000911506163068809</v>
      </c>
      <c r="S42" s="2">
        <v>42</v>
      </c>
    </row>
    <row r="43" spans="1:19">
      <c r="A43">
        <v>34.3571434020996</v>
      </c>
      <c r="B43" s="1">
        <v>0.0260960068553686</v>
      </c>
      <c r="C43" s="1">
        <v>0.0277664009481669</v>
      </c>
      <c r="D43" s="1">
        <v>0.0275951791554689</v>
      </c>
      <c r="E43" s="1">
        <v>0.0278160125017166</v>
      </c>
      <c r="F43" s="1">
        <v>0.0276831965893507</v>
      </c>
      <c r="I43">
        <f t="shared" si="0"/>
        <v>0.0273913592100143</v>
      </c>
      <c r="J43">
        <f t="shared" si="2"/>
        <v>0.000728978064200037</v>
      </c>
      <c r="S43" s="2">
        <v>43</v>
      </c>
    </row>
    <row r="44" spans="1:19">
      <c r="A44">
        <v>35.1632652282715</v>
      </c>
      <c r="B44" s="1">
        <v>0.0257599931210279</v>
      </c>
      <c r="C44" s="1">
        <v>0.0274959933012724</v>
      </c>
      <c r="D44" s="1">
        <v>0.0245247948914766</v>
      </c>
      <c r="E44" s="1">
        <v>0.0285631958395243</v>
      </c>
      <c r="F44" s="1">
        <v>0.0266735907644033</v>
      </c>
      <c r="I44">
        <f t="shared" si="0"/>
        <v>0.0266035135835409</v>
      </c>
      <c r="J44">
        <f t="shared" si="2"/>
        <v>0.00155518355618168</v>
      </c>
      <c r="S44" s="2">
        <v>44</v>
      </c>
    </row>
    <row r="45" spans="1:19">
      <c r="A45">
        <v>35.9693870544434</v>
      </c>
      <c r="B45" s="1">
        <v>0.0256063919514418</v>
      </c>
      <c r="C45" s="1">
        <v>0.024767991155386</v>
      </c>
      <c r="D45" s="1">
        <v>0.0244960095733404</v>
      </c>
      <c r="E45" s="1">
        <v>0.0255968105047941</v>
      </c>
      <c r="F45" s="1">
        <v>0.0250095948576927</v>
      </c>
      <c r="I45">
        <f t="shared" si="0"/>
        <v>0.025095359608531</v>
      </c>
      <c r="J45">
        <f t="shared" si="2"/>
        <v>0.000496576584765092</v>
      </c>
      <c r="S45" s="2">
        <v>45</v>
      </c>
    </row>
    <row r="46" spans="1:19">
      <c r="A46">
        <v>36.7755088806152</v>
      </c>
      <c r="B46" s="1">
        <v>0.0261359959840775</v>
      </c>
      <c r="C46" s="1">
        <v>0.0249408017843962</v>
      </c>
      <c r="D46" s="1">
        <v>0.0243744049221277</v>
      </c>
      <c r="E46" s="1">
        <v>0.0254256073385477</v>
      </c>
      <c r="F46" s="1">
        <v>0.0255184005945921</v>
      </c>
      <c r="I46">
        <f t="shared" si="0"/>
        <v>0.0252790421247482</v>
      </c>
      <c r="J46">
        <f t="shared" si="2"/>
        <v>0.000660666094220062</v>
      </c>
      <c r="S46" s="2">
        <v>46</v>
      </c>
    </row>
    <row r="47" spans="1:19">
      <c r="A47">
        <v>37.5816345214844</v>
      </c>
      <c r="B47" s="1">
        <v>0.0244639962911606</v>
      </c>
      <c r="C47" s="1">
        <v>0.0251312032341957</v>
      </c>
      <c r="D47" s="1">
        <v>0.0265312008559704</v>
      </c>
      <c r="E47" s="1">
        <v>0.0233839973807335</v>
      </c>
      <c r="F47" s="1">
        <v>0.0248719900846481</v>
      </c>
      <c r="I47">
        <f t="shared" si="0"/>
        <v>0.0248764775693417</v>
      </c>
      <c r="J47">
        <f t="shared" si="2"/>
        <v>0.00114024694424096</v>
      </c>
      <c r="S47" s="2">
        <v>47</v>
      </c>
    </row>
    <row r="48" spans="1:19">
      <c r="A48">
        <v>38.3877563476563</v>
      </c>
      <c r="B48" s="1">
        <v>0.0242895986884832</v>
      </c>
      <c r="C48" s="1">
        <v>0.025796802714467</v>
      </c>
      <c r="D48" s="1">
        <v>0.0243888031691313</v>
      </c>
      <c r="E48" s="1">
        <v>0.0235536098480225</v>
      </c>
      <c r="F48" s="1">
        <v>0.0237007923424244</v>
      </c>
      <c r="I48">
        <f t="shared" si="0"/>
        <v>0.0243459213525057</v>
      </c>
      <c r="J48">
        <f t="shared" si="2"/>
        <v>0.000887977586844298</v>
      </c>
      <c r="S48" s="2">
        <v>48</v>
      </c>
    </row>
    <row r="49" spans="1:19">
      <c r="A49">
        <v>39.1938781738281</v>
      </c>
      <c r="B49" s="1">
        <v>0.0238767974078655</v>
      </c>
      <c r="C49" s="1">
        <v>0.0253039989620447</v>
      </c>
      <c r="D49" s="1">
        <v>0.0244607906788588</v>
      </c>
      <c r="E49" s="1">
        <v>0.0236336085945368</v>
      </c>
      <c r="F49" s="1">
        <v>0.0242272112518549</v>
      </c>
      <c r="I49">
        <f t="shared" si="0"/>
        <v>0.0243004813790321</v>
      </c>
      <c r="J49">
        <f t="shared" si="2"/>
        <v>0.000644659317137152</v>
      </c>
      <c r="S49" s="2">
        <v>49</v>
      </c>
    </row>
    <row r="50" spans="1:19">
      <c r="A50">
        <v>40</v>
      </c>
      <c r="B50" s="1">
        <v>0.022390415892005</v>
      </c>
      <c r="C50" s="1">
        <v>0.0227743983268738</v>
      </c>
      <c r="D50" s="1">
        <v>0.0213999841362238</v>
      </c>
      <c r="E50" s="1">
        <v>0.0235391948372126</v>
      </c>
      <c r="F50" s="1">
        <v>0.0243776086717844</v>
      </c>
      <c r="I50">
        <f t="shared" si="0"/>
        <v>0.0228963203728199</v>
      </c>
      <c r="J50">
        <f t="shared" si="2"/>
        <v>0.00113107571182969</v>
      </c>
      <c r="S50" s="2">
        <v>50</v>
      </c>
    </row>
    <row r="53" spans="2:10">
      <c r="B53" s="1">
        <v>0</v>
      </c>
      <c r="C53" s="1">
        <v>4.26299295343269e-13</v>
      </c>
      <c r="D53" s="1">
        <v>0</v>
      </c>
      <c r="E53" s="1">
        <v>0</v>
      </c>
      <c r="F53" s="1">
        <v>0</v>
      </c>
      <c r="G53" s="1"/>
      <c r="I53">
        <f t="shared" ref="I53:I102" si="3">AVERAGE(B53:H53)</f>
        <v>8.52598590686537e-14</v>
      </c>
      <c r="J53">
        <f t="shared" si="2"/>
        <v>1.90646840629562e-13</v>
      </c>
    </row>
    <row r="54" spans="2:10">
      <c r="B54" s="1">
        <v>0</v>
      </c>
      <c r="C54" s="1">
        <v>0</v>
      </c>
      <c r="D54" s="1">
        <v>0</v>
      </c>
      <c r="E54" s="1">
        <v>0</v>
      </c>
      <c r="F54" s="1">
        <v>2.37531809542738e-13</v>
      </c>
      <c r="G54" s="1"/>
      <c r="I54">
        <f t="shared" si="3"/>
        <v>4.75063619085475e-14</v>
      </c>
      <c r="J54">
        <f t="shared" si="2"/>
        <v>1.06227454591219e-13</v>
      </c>
    </row>
    <row r="55" spans="2:10">
      <c r="B55" s="1">
        <v>2.34242258836254e-13</v>
      </c>
      <c r="C55" s="1">
        <v>0</v>
      </c>
      <c r="D55" s="1">
        <v>6.14293164946655e-12</v>
      </c>
      <c r="E55" s="1">
        <v>2.87447431308874e-12</v>
      </c>
      <c r="F55" s="1">
        <v>9.66232736182571e-13</v>
      </c>
      <c r="G55" s="1"/>
      <c r="I55">
        <f t="shared" si="3"/>
        <v>2.04357619151482e-12</v>
      </c>
      <c r="J55">
        <f t="shared" si="2"/>
        <v>2.55468533827012e-12</v>
      </c>
    </row>
    <row r="56" spans="2:10">
      <c r="B56" s="1">
        <v>3.09897697781114e-11</v>
      </c>
      <c r="C56" s="1">
        <v>1.85195990487497e-11</v>
      </c>
      <c r="D56" s="1">
        <v>9.31043870472381e-12</v>
      </c>
      <c r="E56" s="1">
        <v>3.13524727013625e-11</v>
      </c>
      <c r="F56" s="1">
        <v>4.69685471071735e-11</v>
      </c>
      <c r="G56" s="1"/>
      <c r="I56">
        <f t="shared" si="3"/>
        <v>2.74281654680242e-11</v>
      </c>
      <c r="J56">
        <f t="shared" si="2"/>
        <v>1.42962084645117e-11</v>
      </c>
    </row>
    <row r="57" spans="2:10">
      <c r="B57" s="1">
        <v>2.39029129822654e-10</v>
      </c>
      <c r="C57" s="1">
        <v>6.68252730928742e-10</v>
      </c>
      <c r="D57" s="1">
        <v>2.88623985822412e-10</v>
      </c>
      <c r="E57" s="1">
        <v>4.13359541040492e-10</v>
      </c>
      <c r="F57" s="1">
        <v>3.69161395896711e-10</v>
      </c>
      <c r="G57" s="1"/>
      <c r="I57">
        <f t="shared" si="3"/>
        <v>3.95685356702202e-10</v>
      </c>
      <c r="J57">
        <f t="shared" si="2"/>
        <v>1.66817401172946e-10</v>
      </c>
    </row>
    <row r="58" spans="2:10">
      <c r="B58" s="1">
        <v>4.49637216348719e-9</v>
      </c>
      <c r="C58" s="1">
        <v>3.8889478304327e-9</v>
      </c>
      <c r="D58" s="1">
        <v>9.00497454381366e-10</v>
      </c>
      <c r="E58" s="1">
        <v>2.60330912382756e-9</v>
      </c>
      <c r="F58" s="1">
        <v>2.91737078939036e-9</v>
      </c>
      <c r="G58" s="1"/>
      <c r="I58">
        <f t="shared" si="3"/>
        <v>2.96129947230384e-9</v>
      </c>
      <c r="J58">
        <f t="shared" si="2"/>
        <v>1.37785806774628e-9</v>
      </c>
    </row>
    <row r="59" spans="2:10">
      <c r="B59" s="1">
        <v>9.7707930635238e-9</v>
      </c>
      <c r="C59" s="1">
        <v>1.46235619169488e-8</v>
      </c>
      <c r="D59" s="1">
        <v>2.29807941565241e-8</v>
      </c>
      <c r="E59" s="1">
        <v>1.49473518007426e-8</v>
      </c>
      <c r="F59" s="1">
        <v>7.06810565631599e-9</v>
      </c>
      <c r="G59" s="1"/>
      <c r="I59">
        <f t="shared" si="3"/>
        <v>1.38781213188111e-8</v>
      </c>
      <c r="J59">
        <f t="shared" si="2"/>
        <v>6.07873438758825e-9</v>
      </c>
    </row>
    <row r="60" spans="2:10">
      <c r="B60" s="1">
        <v>3.24064259871193e-8</v>
      </c>
      <c r="C60" s="1">
        <v>1.42639635214437e-7</v>
      </c>
      <c r="D60" s="1">
        <v>7.4764543001038e-8</v>
      </c>
      <c r="E60" s="1">
        <v>3.66413139829547e-8</v>
      </c>
      <c r="F60" s="1">
        <v>3.18886392847162e-8</v>
      </c>
      <c r="G60" s="1"/>
      <c r="I60">
        <f t="shared" si="3"/>
        <v>6.36681114940529e-8</v>
      </c>
      <c r="J60">
        <f t="shared" si="2"/>
        <v>4.76374536715931e-8</v>
      </c>
    </row>
    <row r="61" spans="2:10">
      <c r="B61" s="1">
        <v>2.34303570323391e-7</v>
      </c>
      <c r="C61" s="1">
        <v>1.46034452086497e-7</v>
      </c>
      <c r="D61" s="1">
        <v>1.30673001308423e-7</v>
      </c>
      <c r="E61" s="1">
        <v>1.58409918071811e-7</v>
      </c>
      <c r="F61" s="1">
        <v>2.21313939618995e-7</v>
      </c>
      <c r="G61" s="1"/>
      <c r="I61">
        <f t="shared" si="3"/>
        <v>1.78146976281823e-7</v>
      </c>
      <c r="J61">
        <f t="shared" si="2"/>
        <v>4.66140905597707e-8</v>
      </c>
    </row>
    <row r="62" spans="2:10">
      <c r="B62" s="1">
        <v>7.93915376107179e-7</v>
      </c>
      <c r="C62" s="1">
        <v>1.16795240501233e-6</v>
      </c>
      <c r="D62" s="1">
        <v>3.23347848052435e-7</v>
      </c>
      <c r="E62" s="1">
        <v>8.08828929166339e-7</v>
      </c>
      <c r="F62" s="1">
        <v>9.35402056256862e-7</v>
      </c>
      <c r="G62" s="1"/>
      <c r="I62">
        <f t="shared" si="3"/>
        <v>8.05889322919029e-7</v>
      </c>
      <c r="J62">
        <f t="shared" si="2"/>
        <v>3.08569892878869e-7</v>
      </c>
    </row>
    <row r="63" spans="2:10">
      <c r="B63" s="1">
        <v>2.16021589949378e-6</v>
      </c>
      <c r="C63" s="1">
        <v>3.98254996980541e-6</v>
      </c>
      <c r="D63" s="1">
        <v>1.46135107570444e-6</v>
      </c>
      <c r="E63" s="1">
        <v>3.46273463947e-6</v>
      </c>
      <c r="F63" s="1">
        <v>2.19326989281399e-6</v>
      </c>
      <c r="G63" s="1"/>
      <c r="I63">
        <f t="shared" si="3"/>
        <v>2.65202429545752e-6</v>
      </c>
      <c r="J63">
        <f t="shared" si="2"/>
        <v>1.03653070968859e-6</v>
      </c>
    </row>
    <row r="64" spans="2:10">
      <c r="B64" s="1">
        <v>1.44314026329084e-5</v>
      </c>
      <c r="C64" s="1">
        <v>1.1637495845207e-5</v>
      </c>
      <c r="D64" s="1">
        <v>7.38162134439335e-6</v>
      </c>
      <c r="E64" s="1">
        <v>1.79135349753778e-5</v>
      </c>
      <c r="F64" s="1">
        <v>1.21738685265882e-5</v>
      </c>
      <c r="G64" s="1"/>
      <c r="I64">
        <f t="shared" si="3"/>
        <v>1.2707584664895e-5</v>
      </c>
      <c r="J64">
        <f t="shared" si="2"/>
        <v>3.86876257063228e-6</v>
      </c>
    </row>
    <row r="65" spans="2:10">
      <c r="B65" s="1">
        <v>8.09239427326247e-5</v>
      </c>
      <c r="C65" s="1">
        <v>6.45519321551546e-5</v>
      </c>
      <c r="D65" s="1">
        <v>3.76391544705257e-5</v>
      </c>
      <c r="E65" s="1">
        <v>7.41068943170831e-5</v>
      </c>
      <c r="F65" s="1">
        <v>7.68524769227952e-5</v>
      </c>
      <c r="G65" s="1"/>
      <c r="I65">
        <f t="shared" si="3"/>
        <v>6.68148801196366e-5</v>
      </c>
      <c r="J65">
        <f t="shared" si="2"/>
        <v>1.73877569650164e-5</v>
      </c>
    </row>
    <row r="66" spans="2:10">
      <c r="B66" s="1">
        <v>7.9045188613236e-5</v>
      </c>
      <c r="C66" s="1">
        <v>0.000131987093482167</v>
      </c>
      <c r="D66" s="1">
        <v>7.91190323070623e-5</v>
      </c>
      <c r="E66" s="1">
        <v>7.14581547072157e-5</v>
      </c>
      <c r="F66" s="1">
        <v>8.87281203176826e-5</v>
      </c>
      <c r="G66" s="1"/>
      <c r="I66">
        <f t="shared" si="3"/>
        <v>9.00675178854726e-5</v>
      </c>
      <c r="J66">
        <f t="shared" ref="J66:J97" si="4">SQRT(VAR(B66:F66))</f>
        <v>2.42214485580348e-5</v>
      </c>
    </row>
    <row r="67" spans="2:10">
      <c r="B67" s="1">
        <v>4.4697975681629e-5</v>
      </c>
      <c r="C67" s="1">
        <v>9.03891486814246e-5</v>
      </c>
      <c r="D67" s="1">
        <v>4.48471619165502e-5</v>
      </c>
      <c r="E67" s="1">
        <v>8.48447452881373e-5</v>
      </c>
      <c r="F67" s="1">
        <v>4.07596526201814e-5</v>
      </c>
      <c r="G67" s="1"/>
      <c r="I67">
        <f t="shared" si="3"/>
        <v>6.11077368375845e-5</v>
      </c>
      <c r="J67">
        <f t="shared" si="4"/>
        <v>2.43340180561431e-5</v>
      </c>
    </row>
    <row r="68" spans="2:10">
      <c r="B68" s="1">
        <v>4.19100288127083e-5</v>
      </c>
      <c r="C68" s="1">
        <v>4.16455040976871e-5</v>
      </c>
      <c r="D68" s="1">
        <v>3.31403825839516e-5</v>
      </c>
      <c r="E68" s="1">
        <v>5.48572024854366e-5</v>
      </c>
      <c r="F68" s="1">
        <v>3.39805519615766e-5</v>
      </c>
      <c r="G68" s="1"/>
      <c r="I68">
        <f t="shared" si="3"/>
        <v>4.1106733988272e-5</v>
      </c>
      <c r="J68">
        <f t="shared" si="4"/>
        <v>8.7214701265325e-6</v>
      </c>
    </row>
    <row r="69" spans="2:10">
      <c r="B69" s="1">
        <v>1.97789140656823e-5</v>
      </c>
      <c r="C69" s="1">
        <v>2.81684988294728e-5</v>
      </c>
      <c r="D69" s="1">
        <v>1.24131283882889e-5</v>
      </c>
      <c r="E69" s="1">
        <v>1.84162072400795e-5</v>
      </c>
      <c r="F69" s="1">
        <v>1.86951638170285e-5</v>
      </c>
      <c r="G69" s="1"/>
      <c r="I69">
        <f t="shared" si="3"/>
        <v>1.94943824681104e-5</v>
      </c>
      <c r="J69">
        <f t="shared" si="4"/>
        <v>5.64062550826672e-6</v>
      </c>
    </row>
    <row r="70" spans="2:10">
      <c r="B70" s="1">
        <v>1.51889498738456e-5</v>
      </c>
      <c r="C70" s="1">
        <v>2.6956906367559e-5</v>
      </c>
      <c r="D70" s="1">
        <v>1.20910963232745e-5</v>
      </c>
      <c r="E70" s="1">
        <v>1.41605914905085e-5</v>
      </c>
      <c r="F70" s="1">
        <v>1.82443855010206e-5</v>
      </c>
      <c r="G70" s="1"/>
      <c r="I70">
        <f t="shared" si="3"/>
        <v>1.73283859112416e-5</v>
      </c>
      <c r="J70">
        <f t="shared" si="4"/>
        <v>5.82212958685572e-6</v>
      </c>
    </row>
    <row r="71" spans="2:10">
      <c r="B71" s="1">
        <v>9.25930999073898e-6</v>
      </c>
      <c r="C71" s="1">
        <v>1.46126294566784e-5</v>
      </c>
      <c r="D71" s="1">
        <v>7.574506525998e-6</v>
      </c>
      <c r="E71" s="1">
        <v>1.13921514639514e-5</v>
      </c>
      <c r="F71" s="1">
        <v>1.83380543603562e-5</v>
      </c>
      <c r="G71" s="1"/>
      <c r="I71">
        <f t="shared" si="3"/>
        <v>1.22353303595446e-5</v>
      </c>
      <c r="J71">
        <f t="shared" si="4"/>
        <v>4.30655656877368e-6</v>
      </c>
    </row>
    <row r="72" spans="2:10">
      <c r="B72" s="1">
        <v>4.97551445732825e-6</v>
      </c>
      <c r="C72" s="1">
        <v>5.42128509550821e-6</v>
      </c>
      <c r="D72" s="1">
        <v>1.31443016471167e-6</v>
      </c>
      <c r="E72" s="1">
        <v>1.95649427041644e-5</v>
      </c>
      <c r="F72" s="1">
        <v>4.19792377215344e-6</v>
      </c>
      <c r="G72" s="1"/>
      <c r="I72">
        <f t="shared" si="3"/>
        <v>7.0948192387732e-6</v>
      </c>
      <c r="J72">
        <f t="shared" si="4"/>
        <v>7.15194116515721e-6</v>
      </c>
    </row>
    <row r="73" spans="2:10">
      <c r="B73" s="1">
        <v>2.98700570056099e-6</v>
      </c>
      <c r="C73" s="1">
        <v>3.60471040039556e-6</v>
      </c>
      <c r="D73" s="1">
        <v>4.99364477946074e-6</v>
      </c>
      <c r="E73" s="1">
        <v>3.1607887649443e-6</v>
      </c>
      <c r="F73" s="1">
        <v>6.89438684275956e-6</v>
      </c>
      <c r="G73" s="1"/>
      <c r="I73">
        <f t="shared" si="3"/>
        <v>4.32810729762423e-6</v>
      </c>
      <c r="J73">
        <f t="shared" si="4"/>
        <v>1.63655277678517e-6</v>
      </c>
    </row>
    <row r="74" spans="2:10">
      <c r="B74" s="1">
        <v>7.32035550754517e-6</v>
      </c>
      <c r="C74" s="1">
        <v>1.06606876215665e-5</v>
      </c>
      <c r="D74" s="1">
        <v>8.93799824552843e-6</v>
      </c>
      <c r="E74" s="1">
        <v>3.7602028442052e-6</v>
      </c>
      <c r="F74" s="1">
        <v>1.49459583553835e-6</v>
      </c>
      <c r="G74" s="1"/>
      <c r="I74">
        <f t="shared" si="3"/>
        <v>6.43476801087672e-6</v>
      </c>
      <c r="J74">
        <f t="shared" si="4"/>
        <v>3.75724045446597e-6</v>
      </c>
    </row>
    <row r="75" spans="2:10">
      <c r="B75" s="1">
        <v>2.89228546535014e-6</v>
      </c>
      <c r="C75" s="1">
        <v>6.30034219284425e-6</v>
      </c>
      <c r="D75" s="1">
        <v>3.52662073055399e-6</v>
      </c>
      <c r="E75" s="1">
        <v>3.60711942448688e-6</v>
      </c>
      <c r="F75" s="1">
        <v>1.10000155473244e-5</v>
      </c>
      <c r="G75" s="1"/>
      <c r="I75">
        <f t="shared" si="3"/>
        <v>5.46527667211194e-6</v>
      </c>
      <c r="J75">
        <f t="shared" si="4"/>
        <v>3.36013719241555e-6</v>
      </c>
    </row>
    <row r="76" spans="2:10">
      <c r="B76" s="1">
        <v>7.07155959389638e-6</v>
      </c>
      <c r="C76" s="1">
        <v>3.70547104466823e-6</v>
      </c>
      <c r="D76" s="1">
        <v>4.5775113903801e-6</v>
      </c>
      <c r="E76" s="1">
        <v>7.06111131876241e-6</v>
      </c>
      <c r="F76" s="1">
        <v>6.65334982841159e-6</v>
      </c>
      <c r="G76" s="1"/>
      <c r="I76">
        <f t="shared" si="3"/>
        <v>5.81380063522374e-6</v>
      </c>
      <c r="J76">
        <f t="shared" si="4"/>
        <v>1.56652873788684e-6</v>
      </c>
    </row>
    <row r="77" spans="2:10">
      <c r="B77" s="1">
        <v>9.04813623492373e-6</v>
      </c>
      <c r="C77" s="1">
        <v>2.02000865101581e-6</v>
      </c>
      <c r="D77" s="1">
        <v>2.46982631324499e-6</v>
      </c>
      <c r="E77" s="1">
        <v>4.83294888908858e-6</v>
      </c>
      <c r="F77" s="1">
        <v>2.75979959951656e-6</v>
      </c>
      <c r="G77" s="1"/>
      <c r="I77">
        <f t="shared" si="3"/>
        <v>4.22614393755794e-6</v>
      </c>
      <c r="J77">
        <f t="shared" si="4"/>
        <v>2.9035182185911e-6</v>
      </c>
    </row>
    <row r="78" spans="2:10">
      <c r="B78" s="1">
        <v>5.59119689569343e-6</v>
      </c>
      <c r="C78" s="1">
        <v>5.96658765061875e-6</v>
      </c>
      <c r="D78" s="1">
        <v>9.93131016002735e-6</v>
      </c>
      <c r="E78" s="1">
        <v>1.33654805267724e-6</v>
      </c>
      <c r="F78" s="1">
        <v>4.29068222729256e-6</v>
      </c>
      <c r="G78" s="1"/>
      <c r="I78">
        <f t="shared" si="3"/>
        <v>5.42326499726187e-6</v>
      </c>
      <c r="J78">
        <f t="shared" si="4"/>
        <v>3.10764665517499e-6</v>
      </c>
    </row>
    <row r="79" spans="2:10">
      <c r="B79" s="1">
        <v>1.5242208064592e-6</v>
      </c>
      <c r="C79" s="1">
        <v>2.7701962608262e-6</v>
      </c>
      <c r="D79" s="1">
        <v>2.62539765572001e-6</v>
      </c>
      <c r="E79" s="1">
        <v>1.33290018311527e-6</v>
      </c>
      <c r="F79" s="1">
        <v>3.50524396708352e-6</v>
      </c>
      <c r="G79" s="1"/>
      <c r="I79">
        <f t="shared" si="3"/>
        <v>2.35159177464084e-6</v>
      </c>
      <c r="J79">
        <f t="shared" si="4"/>
        <v>9.08761249604451e-7</v>
      </c>
    </row>
    <row r="80" spans="2:10">
      <c r="B80" s="1">
        <v>4.14532178183435e-6</v>
      </c>
      <c r="C80" s="1">
        <v>1.87469618140312e-6</v>
      </c>
      <c r="D80" s="1">
        <v>4.23412211603136e-6</v>
      </c>
      <c r="E80" s="1">
        <v>6.29663782092393e-6</v>
      </c>
      <c r="F80" s="1">
        <v>1.89841875908314e-6</v>
      </c>
      <c r="G80" s="1"/>
      <c r="I80">
        <f t="shared" si="3"/>
        <v>3.68983933185518e-6</v>
      </c>
      <c r="J80">
        <f t="shared" si="4"/>
        <v>1.8576220484254e-6</v>
      </c>
    </row>
    <row r="81" spans="2:10">
      <c r="B81" s="1">
        <v>1.70066027749272e-6</v>
      </c>
      <c r="C81" s="1">
        <v>3.47245850207401e-6</v>
      </c>
      <c r="D81" s="1">
        <v>2.48038759309566e-6</v>
      </c>
      <c r="E81" s="1">
        <v>3.30935472447891e-6</v>
      </c>
      <c r="F81" s="1">
        <v>3.18490674544591e-6</v>
      </c>
      <c r="G81" s="1"/>
      <c r="I81">
        <f t="shared" si="3"/>
        <v>2.82955356851744e-6</v>
      </c>
      <c r="J81">
        <f t="shared" si="4"/>
        <v>7.35888701523431e-7</v>
      </c>
    </row>
    <row r="82" spans="2:10">
      <c r="B82" s="1">
        <v>5.65319260203978e-6</v>
      </c>
      <c r="C82" s="1">
        <v>1.72230159023457e-6</v>
      </c>
      <c r="D82" s="1">
        <v>1.73022374383436e-6</v>
      </c>
      <c r="E82" s="1">
        <v>3.78915547116776e-6</v>
      </c>
      <c r="F82" s="1">
        <v>3.32168474415084e-6</v>
      </c>
      <c r="G82" s="1"/>
      <c r="I82">
        <f t="shared" si="3"/>
        <v>3.24331163028546e-6</v>
      </c>
      <c r="J82">
        <f t="shared" si="4"/>
        <v>1.63665211909024e-6</v>
      </c>
    </row>
    <row r="83" spans="2:10">
      <c r="B83" s="1">
        <v>2.94999927064055e-6</v>
      </c>
      <c r="C83" s="1">
        <v>2.44671468863089e-6</v>
      </c>
      <c r="D83" s="1">
        <v>2.44305715568771e-6</v>
      </c>
      <c r="E83" s="1">
        <v>1.87232535608928e-6</v>
      </c>
      <c r="F83" s="1">
        <v>4.00845192416455e-6</v>
      </c>
      <c r="G83" s="1"/>
      <c r="I83">
        <f t="shared" si="3"/>
        <v>2.74410967904259e-6</v>
      </c>
      <c r="J83">
        <f t="shared" si="4"/>
        <v>8.03124545854485e-7</v>
      </c>
    </row>
    <row r="84" spans="2:10">
      <c r="B84" s="1">
        <v>1.27238604363811e-6</v>
      </c>
      <c r="C84" s="1">
        <v>1.18879961519269e-6</v>
      </c>
      <c r="D84" s="1">
        <v>2.19337084672588e-6</v>
      </c>
      <c r="E84" s="1">
        <v>2.00313570530852e-6</v>
      </c>
      <c r="F84" s="1">
        <v>1.73290754901245e-6</v>
      </c>
      <c r="G84" s="1"/>
      <c r="I84">
        <f t="shared" si="3"/>
        <v>1.67811995197553e-6</v>
      </c>
      <c r="J84">
        <f t="shared" si="4"/>
        <v>4.41071083162555e-7</v>
      </c>
    </row>
    <row r="85" spans="2:10">
      <c r="B85" s="1">
        <v>2.65453718384379e-6</v>
      </c>
      <c r="C85" s="1">
        <v>1.64989216955291e-6</v>
      </c>
      <c r="D85" s="1">
        <v>2.36892196880944e-6</v>
      </c>
      <c r="E85" s="1">
        <v>1.17682623113069e-6</v>
      </c>
      <c r="F85" s="1">
        <v>7.78839478243754e-7</v>
      </c>
      <c r="G85" s="1"/>
      <c r="I85">
        <f t="shared" si="3"/>
        <v>1.72580340631612e-6</v>
      </c>
      <c r="J85">
        <f t="shared" si="4"/>
        <v>7.87405081701285e-7</v>
      </c>
    </row>
    <row r="86" spans="2:10">
      <c r="B86" s="1">
        <v>1.50963273881644e-6</v>
      </c>
      <c r="C86" s="1">
        <v>1.37838674163504e-6</v>
      </c>
      <c r="D86" s="1">
        <v>8.22108290776669e-7</v>
      </c>
      <c r="E86" s="1">
        <v>3.36522953148233e-6</v>
      </c>
      <c r="F86" s="1">
        <v>1.25338658563123e-6</v>
      </c>
      <c r="G86" s="1"/>
      <c r="I86">
        <f t="shared" si="3"/>
        <v>1.66574877766834e-6</v>
      </c>
      <c r="J86">
        <f t="shared" si="4"/>
        <v>9.84499344650448e-7</v>
      </c>
    </row>
    <row r="87" spans="2:10">
      <c r="B87" s="1">
        <v>1.49405593674601e-6</v>
      </c>
      <c r="C87" s="1">
        <v>1.0722695833465e-6</v>
      </c>
      <c r="D87" s="1">
        <v>1.88333842743305e-6</v>
      </c>
      <c r="E87" s="1">
        <v>1.6202932329179e-6</v>
      </c>
      <c r="F87" s="1">
        <v>2.25971803047287e-6</v>
      </c>
      <c r="G87" s="1"/>
      <c r="I87">
        <f t="shared" si="3"/>
        <v>1.66593504218326e-6</v>
      </c>
      <c r="J87">
        <f t="shared" si="4"/>
        <v>4.42692542221741e-7</v>
      </c>
    </row>
    <row r="88" spans="2:10">
      <c r="B88" s="1">
        <v>1.83088377525564e-6</v>
      </c>
      <c r="C88" s="1">
        <v>1.94880749404547e-6</v>
      </c>
      <c r="D88" s="1">
        <v>6.34119032838498e-7</v>
      </c>
      <c r="E88" s="1">
        <v>1.17027320811758e-6</v>
      </c>
      <c r="F88" s="1">
        <v>1.27726809751039e-6</v>
      </c>
      <c r="G88" s="1"/>
      <c r="I88">
        <f t="shared" si="3"/>
        <v>1.37227032155351e-6</v>
      </c>
      <c r="J88">
        <f t="shared" si="4"/>
        <v>5.33248767608243e-7</v>
      </c>
    </row>
    <row r="89" spans="2:10">
      <c r="B89" s="1">
        <v>1.68999542893289e-6</v>
      </c>
      <c r="C89" s="1">
        <v>2.236586624349e-6</v>
      </c>
      <c r="D89" s="1">
        <v>1.86211843811179e-6</v>
      </c>
      <c r="E89" s="1">
        <v>9.82745063993207e-7</v>
      </c>
      <c r="F89" s="1">
        <v>9.92640934782685e-7</v>
      </c>
      <c r="G89" s="1"/>
      <c r="I89">
        <f t="shared" si="3"/>
        <v>1.55281729803392e-6</v>
      </c>
      <c r="J89">
        <f t="shared" si="4"/>
        <v>5.52450322750682e-7</v>
      </c>
    </row>
    <row r="90" spans="2:10">
      <c r="B90" s="1">
        <v>5.30767522377573e-7</v>
      </c>
      <c r="C90" s="1">
        <v>5.32544788711675e-7</v>
      </c>
      <c r="D90" s="1">
        <v>7.98289875092451e-7</v>
      </c>
      <c r="E90" s="1">
        <v>1.65116853168001e-6</v>
      </c>
      <c r="F90" s="1">
        <v>1.44459352213744e-6</v>
      </c>
      <c r="G90" s="1"/>
      <c r="I90">
        <f t="shared" si="3"/>
        <v>9.9147284799983e-7</v>
      </c>
      <c r="J90">
        <f t="shared" si="4"/>
        <v>5.24571435096598e-7</v>
      </c>
    </row>
    <row r="91" spans="2:10">
      <c r="B91" s="1">
        <v>1.46846946336154e-6</v>
      </c>
      <c r="C91" s="1">
        <v>1.64446055350709e-6</v>
      </c>
      <c r="D91" s="1">
        <v>1.2901459740533e-6</v>
      </c>
      <c r="E91" s="1">
        <v>1.19147364330274e-6</v>
      </c>
      <c r="F91" s="1">
        <v>1.22810297398246e-6</v>
      </c>
      <c r="G91" s="1"/>
      <c r="I91">
        <f t="shared" si="3"/>
        <v>1.36453052164143e-6</v>
      </c>
      <c r="J91">
        <f t="shared" si="4"/>
        <v>1.89247421492784e-7</v>
      </c>
    </row>
    <row r="92" spans="2:10">
      <c r="B92" s="1">
        <v>1.88325191174954e-6</v>
      </c>
      <c r="C92" s="1">
        <v>7.53083611471084e-7</v>
      </c>
      <c r="D92" s="1">
        <v>6.98521375852579e-7</v>
      </c>
      <c r="E92" s="1">
        <v>1.09586869712075e-6</v>
      </c>
      <c r="F92" s="1">
        <v>1.56995679390093e-6</v>
      </c>
      <c r="G92" s="1"/>
      <c r="I92">
        <f t="shared" si="3"/>
        <v>1.20013647801898e-6</v>
      </c>
      <c r="J92">
        <f t="shared" si="4"/>
        <v>5.16178144680559e-7</v>
      </c>
    </row>
    <row r="93" spans="2:10">
      <c r="B93" s="1">
        <v>1.25621750157734e-6</v>
      </c>
      <c r="C93" s="1">
        <v>1.71621263689303e-6</v>
      </c>
      <c r="D93" s="1">
        <v>7.45276111047133e-7</v>
      </c>
      <c r="E93" s="1">
        <v>6.18194576418318e-7</v>
      </c>
      <c r="F93" s="1">
        <v>8.000338311831e-7</v>
      </c>
      <c r="G93" s="1"/>
      <c r="I93">
        <f t="shared" si="3"/>
        <v>1.02718693142378e-6</v>
      </c>
      <c r="J93">
        <f t="shared" si="4"/>
        <v>4.54301225210092e-7</v>
      </c>
    </row>
    <row r="94" spans="2:10">
      <c r="B94" s="1">
        <v>2.50632012921415e-7</v>
      </c>
      <c r="C94" s="1">
        <v>1.79902576746827e-6</v>
      </c>
      <c r="D94" s="1">
        <v>1.17014667466719e-6</v>
      </c>
      <c r="E94" s="1">
        <v>4.72295255349309e-7</v>
      </c>
      <c r="F94" s="1">
        <v>1.70403291122057e-6</v>
      </c>
      <c r="G94" s="1"/>
      <c r="I94">
        <f t="shared" si="3"/>
        <v>1.07922652432535e-6</v>
      </c>
      <c r="J94">
        <f t="shared" si="4"/>
        <v>7.02085264562282e-7</v>
      </c>
    </row>
    <row r="95" spans="2:10">
      <c r="B95" s="1">
        <v>6.82382051309105e-7</v>
      </c>
      <c r="C95" s="1">
        <v>3.10846445472635e-7</v>
      </c>
      <c r="D95" s="1">
        <v>1.16988655918249e-6</v>
      </c>
      <c r="E95" s="1">
        <v>1.04122000266216e-6</v>
      </c>
      <c r="F95" s="1">
        <v>8.51968366077926e-7</v>
      </c>
      <c r="G95" s="1"/>
      <c r="I95">
        <f t="shared" si="3"/>
        <v>8.11260684940862e-7</v>
      </c>
      <c r="J95">
        <f t="shared" si="4"/>
        <v>3.35475421624046e-7</v>
      </c>
    </row>
    <row r="96" spans="2:10">
      <c r="B96" s="1">
        <v>5.44227077625692e-7</v>
      </c>
      <c r="C96" s="1">
        <v>1.7812734540712e-6</v>
      </c>
      <c r="D96" s="1">
        <v>4.95910398967681e-7</v>
      </c>
      <c r="E96" s="1">
        <v>5.19691980116477e-7</v>
      </c>
      <c r="F96" s="1">
        <v>2.91649371320091e-7</v>
      </c>
      <c r="G96" s="1"/>
      <c r="I96">
        <f t="shared" si="3"/>
        <v>7.26550456420227e-7</v>
      </c>
      <c r="J96">
        <f t="shared" si="4"/>
        <v>5.98081648976669e-7</v>
      </c>
    </row>
    <row r="97" spans="2:10">
      <c r="B97" s="1">
        <v>1.01843647826172e-6</v>
      </c>
      <c r="C97" s="1">
        <v>3.83591299168984e-7</v>
      </c>
      <c r="D97" s="1">
        <v>1.13360658815509e-6</v>
      </c>
      <c r="E97" s="1">
        <v>8.93396645551547e-7</v>
      </c>
      <c r="F97" s="1">
        <v>3.87164561743703e-7</v>
      </c>
      <c r="G97" s="1"/>
      <c r="I97">
        <f t="shared" si="3"/>
        <v>7.63239114576208e-7</v>
      </c>
      <c r="J97">
        <f t="shared" si="4"/>
        <v>3.55247546021954e-7</v>
      </c>
    </row>
    <row r="98" spans="2:10">
      <c r="B98" s="1">
        <v>1.57061037953099e-6</v>
      </c>
      <c r="C98" s="1">
        <v>1.90172912084563e-7</v>
      </c>
      <c r="D98" s="1">
        <v>2.79246677337142e-7</v>
      </c>
      <c r="E98" s="1">
        <v>9.9483918347687e-7</v>
      </c>
      <c r="F98" s="1">
        <v>9.49969432895159e-7</v>
      </c>
      <c r="G98" s="1"/>
      <c r="I98">
        <f t="shared" si="3"/>
        <v>7.96967717064945e-7</v>
      </c>
      <c r="J98">
        <f>SQRT(VAR(B98:F98))</f>
        <v>5.69499916984753e-7</v>
      </c>
    </row>
    <row r="99" spans="2:10">
      <c r="B99" s="1">
        <v>9.4592815003125e-7</v>
      </c>
      <c r="C99" s="1">
        <v>4.67668229475748e-7</v>
      </c>
      <c r="D99" s="1">
        <v>4.16787941048824e-7</v>
      </c>
      <c r="E99" s="1">
        <v>1.07418588868313e-6</v>
      </c>
      <c r="F99" s="1">
        <v>7.37475829737377e-7</v>
      </c>
      <c r="G99" s="1"/>
      <c r="I99">
        <f t="shared" si="3"/>
        <v>7.28409207795266e-7</v>
      </c>
      <c r="J99">
        <f>SQRT(VAR(B99:F99))</f>
        <v>2.88119714083576e-7</v>
      </c>
    </row>
    <row r="100" spans="2:10">
      <c r="B100" s="1">
        <v>1.18569630558341e-6</v>
      </c>
      <c r="C100" s="1">
        <v>1.86864656370744e-6</v>
      </c>
      <c r="D100" s="1">
        <v>1.7873589968076e-6</v>
      </c>
      <c r="E100" s="1">
        <v>8.45128283799568e-7</v>
      </c>
      <c r="F100" s="1">
        <v>9.19047749903257e-7</v>
      </c>
      <c r="G100" s="1"/>
      <c r="I100">
        <f t="shared" si="3"/>
        <v>1.32117557996025e-6</v>
      </c>
      <c r="J100">
        <f>SQRT(VAR(B100:F100))</f>
        <v>4.80555384389381e-7</v>
      </c>
    </row>
    <row r="101" spans="2:10">
      <c r="B101" s="1">
        <v>5.54374992134399e-7</v>
      </c>
      <c r="C101" s="1">
        <v>7.05327579453296e-7</v>
      </c>
      <c r="D101" s="1">
        <v>4.3781165004475e-7</v>
      </c>
      <c r="E101" s="1">
        <v>5.69568214814353e-7</v>
      </c>
      <c r="F101" s="1">
        <v>7.40412644972821e-7</v>
      </c>
      <c r="G101" s="1"/>
      <c r="I101">
        <f t="shared" si="3"/>
        <v>6.01499016283924e-7</v>
      </c>
      <c r="J101">
        <f>SQRT(VAR(B101:F101))</f>
        <v>1.22587897410577e-7</v>
      </c>
    </row>
    <row r="102" spans="2:10">
      <c r="B102" s="1">
        <v>1.31896263155795e-6</v>
      </c>
      <c r="C102" s="1">
        <v>4.43465779653707e-7</v>
      </c>
      <c r="D102" s="1">
        <v>3.80658036647219e-7</v>
      </c>
      <c r="E102" s="1">
        <v>5.57360863240319e-7</v>
      </c>
      <c r="F102" s="1">
        <v>9.6732992460602e-7</v>
      </c>
      <c r="G102" s="1"/>
      <c r="I102">
        <f t="shared" si="3"/>
        <v>7.33555447141043e-7</v>
      </c>
      <c r="J102">
        <f>SQRT(VAR(B102:F102))</f>
        <v>3.99088087642648e-7</v>
      </c>
    </row>
  </sheetData>
  <pageMargins left="0.7" right="0.7" top="0.75" bottom="0.75" header="0.3" footer="0.3"/>
  <headerFooter/>
  <ignoredErrors>
    <ignoredError sqref="J1:J50 I1 I2:I50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2025-04-14T08:50:00Z</dcterms:created>
  <dcterms:modified xsi:type="dcterms:W3CDTF">2025-04-20T06:23:02Z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34C0F9449D414B9AB19C7DC3890F1E17_12</vt:lpwstr>
  </property>
</Properties>
</file>